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proge\Downloads\"/>
    </mc:Choice>
  </mc:AlternateContent>
  <xr:revisionPtr revIDLastSave="0" documentId="8_{38A27E26-997E-48DA-BA5F-7736BA74A789}" xr6:coauthVersionLast="47" xr6:coauthVersionMax="47" xr10:uidLastSave="{00000000-0000-0000-0000-000000000000}"/>
  <bookViews>
    <workbookView xWindow="-108" yWindow="-108" windowWidth="23256" windowHeight="12456" xr2:uid="{862AEACE-3155-4182-8D10-C10E8BB68475}"/>
  </bookViews>
  <sheets>
    <sheet name="Standard Time" sheetId="5" r:id="rId1"/>
    <sheet name="performance_casi_speciali" sheetId="6" r:id="rId2"/>
  </sheets>
  <definedNames>
    <definedName name="DatiEsterni_1" localSheetId="0" hidden="1">'Standard Time'!$A$1:$F$162</definedName>
    <definedName name="DatiEsterni_2" localSheetId="1" hidden="1">performance_casi_speciali!$A$1:$G$12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6" l="1"/>
  <c r="N4" i="6"/>
  <c r="N3" i="6"/>
  <c r="M3" i="6"/>
  <c r="N2" i="6"/>
  <c r="M2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I142" i="5" s="1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2" i="6"/>
  <c r="I2" i="6" s="1"/>
  <c r="J2" i="6" s="1"/>
  <c r="H3" i="6"/>
  <c r="I3" i="6" s="1"/>
  <c r="J3" i="6" s="1"/>
  <c r="H4" i="6"/>
  <c r="I4" i="6" s="1"/>
  <c r="J4" i="6" s="1"/>
  <c r="H5" i="6"/>
  <c r="I5" i="6" s="1"/>
  <c r="J5" i="6" s="1"/>
  <c r="H6" i="6"/>
  <c r="I6" i="6" s="1"/>
  <c r="J6" i="6" s="1"/>
  <c r="H7" i="6"/>
  <c r="I7" i="6" s="1"/>
  <c r="J7" i="6" s="1"/>
  <c r="H8" i="6"/>
  <c r="I8" i="6" s="1"/>
  <c r="J8" i="6" s="1"/>
  <c r="H9" i="6"/>
  <c r="I9" i="6" s="1"/>
  <c r="J9" i="6" s="1"/>
  <c r="H10" i="6"/>
  <c r="I10" i="6" s="1"/>
  <c r="J10" i="6" s="1"/>
  <c r="H11" i="6"/>
  <c r="I11" i="6" s="1"/>
  <c r="J11" i="6" s="1"/>
  <c r="H12" i="6"/>
  <c r="I12" i="6" s="1"/>
  <c r="J12" i="6" s="1"/>
  <c r="G126" i="5"/>
  <c r="I126" i="5" s="1"/>
  <c r="G127" i="5"/>
  <c r="I127" i="5" s="1"/>
  <c r="G128" i="5"/>
  <c r="I128" i="5" s="1"/>
  <c r="G129" i="5"/>
  <c r="I129" i="5" s="1"/>
  <c r="G130" i="5"/>
  <c r="I130" i="5" s="1"/>
  <c r="G131" i="5"/>
  <c r="G132" i="5"/>
  <c r="G133" i="5"/>
  <c r="G134" i="5"/>
  <c r="G135" i="5"/>
  <c r="G136" i="5"/>
  <c r="G137" i="5"/>
  <c r="G138" i="5"/>
  <c r="I138" i="5" s="1"/>
  <c r="G139" i="5"/>
  <c r="I139" i="5" s="1"/>
  <c r="G140" i="5"/>
  <c r="I140" i="5" s="1"/>
  <c r="G141" i="5"/>
  <c r="I141" i="5" s="1"/>
  <c r="G142" i="5"/>
  <c r="G143" i="5"/>
  <c r="G144" i="5"/>
  <c r="G145" i="5"/>
  <c r="G146" i="5"/>
  <c r="G147" i="5"/>
  <c r="G148" i="5"/>
  <c r="G149" i="5"/>
  <c r="G150" i="5"/>
  <c r="I150" i="5" s="1"/>
  <c r="G151" i="5"/>
  <c r="I151" i="5" s="1"/>
  <c r="G152" i="5"/>
  <c r="I152" i="5" s="1"/>
  <c r="G153" i="5"/>
  <c r="I153" i="5" s="1"/>
  <c r="G154" i="5"/>
  <c r="G155" i="5"/>
  <c r="G156" i="5"/>
  <c r="G157" i="5"/>
  <c r="G158" i="5"/>
  <c r="G159" i="5"/>
  <c r="G160" i="5"/>
  <c r="G161" i="5"/>
  <c r="G162" i="5"/>
  <c r="I162" i="5" s="1"/>
  <c r="G2" i="5"/>
  <c r="G3" i="5"/>
  <c r="G4" i="5"/>
  <c r="I4" i="5" s="1"/>
  <c r="G5" i="5"/>
  <c r="G6" i="5"/>
  <c r="G7" i="5"/>
  <c r="G8" i="5"/>
  <c r="G9" i="5"/>
  <c r="G10" i="5"/>
  <c r="G11" i="5"/>
  <c r="G12" i="5"/>
  <c r="G13" i="5"/>
  <c r="G14" i="5"/>
  <c r="G15" i="5"/>
  <c r="G16" i="5"/>
  <c r="I16" i="5" s="1"/>
  <c r="G17" i="5"/>
  <c r="G18" i="5"/>
  <c r="G19" i="5"/>
  <c r="G20" i="5"/>
  <c r="G21" i="5"/>
  <c r="G22" i="5"/>
  <c r="G23" i="5"/>
  <c r="G24" i="5"/>
  <c r="G25" i="5"/>
  <c r="G26" i="5"/>
  <c r="G27" i="5"/>
  <c r="G28" i="5"/>
  <c r="I28" i="5" s="1"/>
  <c r="G29" i="5"/>
  <c r="G30" i="5"/>
  <c r="G31" i="5"/>
  <c r="G32" i="5"/>
  <c r="G33" i="5"/>
  <c r="G34" i="5"/>
  <c r="G35" i="5"/>
  <c r="G36" i="5"/>
  <c r="G37" i="5"/>
  <c r="G38" i="5"/>
  <c r="G39" i="5"/>
  <c r="G40" i="5"/>
  <c r="I40" i="5" s="1"/>
  <c r="G41" i="5"/>
  <c r="G42" i="5"/>
  <c r="G43" i="5"/>
  <c r="G44" i="5"/>
  <c r="G45" i="5"/>
  <c r="G46" i="5"/>
  <c r="G47" i="5"/>
  <c r="G48" i="5"/>
  <c r="G49" i="5"/>
  <c r="G50" i="5"/>
  <c r="G51" i="5"/>
  <c r="I51" i="5" s="1"/>
  <c r="G52" i="5"/>
  <c r="I52" i="5" s="1"/>
  <c r="G53" i="5"/>
  <c r="G54" i="5"/>
  <c r="G55" i="5"/>
  <c r="G56" i="5"/>
  <c r="G57" i="5"/>
  <c r="G58" i="5"/>
  <c r="G59" i="5"/>
  <c r="G60" i="5"/>
  <c r="G61" i="5"/>
  <c r="G62" i="5"/>
  <c r="G63" i="5"/>
  <c r="I63" i="5" s="1"/>
  <c r="G64" i="5"/>
  <c r="I64" i="5" s="1"/>
  <c r="G65" i="5"/>
  <c r="G66" i="5"/>
  <c r="G67" i="5"/>
  <c r="G68" i="5"/>
  <c r="G69" i="5"/>
  <c r="G70" i="5"/>
  <c r="G71" i="5"/>
  <c r="G72" i="5"/>
  <c r="G73" i="5"/>
  <c r="G74" i="5"/>
  <c r="G75" i="5"/>
  <c r="I75" i="5" s="1"/>
  <c r="G76" i="5"/>
  <c r="I76" i="5" s="1"/>
  <c r="G77" i="5"/>
  <c r="G78" i="5"/>
  <c r="G79" i="5"/>
  <c r="G80" i="5"/>
  <c r="G81" i="5"/>
  <c r="G82" i="5"/>
  <c r="G83" i="5"/>
  <c r="G84" i="5"/>
  <c r="G85" i="5"/>
  <c r="G86" i="5"/>
  <c r="G87" i="5"/>
  <c r="I87" i="5" s="1"/>
  <c r="G88" i="5"/>
  <c r="I88" i="5" s="1"/>
  <c r="G89" i="5"/>
  <c r="G90" i="5"/>
  <c r="G91" i="5"/>
  <c r="G92" i="5"/>
  <c r="G93" i="5"/>
  <c r="G94" i="5"/>
  <c r="G95" i="5"/>
  <c r="G96" i="5"/>
  <c r="G97" i="5"/>
  <c r="G98" i="5"/>
  <c r="G99" i="5"/>
  <c r="I99" i="5" s="1"/>
  <c r="G100" i="5"/>
  <c r="I100" i="5" s="1"/>
  <c r="G101" i="5"/>
  <c r="G102" i="5"/>
  <c r="G103" i="5"/>
  <c r="G104" i="5"/>
  <c r="G105" i="5"/>
  <c r="G106" i="5"/>
  <c r="G107" i="5"/>
  <c r="G108" i="5"/>
  <c r="G109" i="5"/>
  <c r="G110" i="5"/>
  <c r="I110" i="5" s="1"/>
  <c r="G111" i="5"/>
  <c r="I111" i="5" s="1"/>
  <c r="G112" i="5"/>
  <c r="I112" i="5" s="1"/>
  <c r="G113" i="5"/>
  <c r="G114" i="5"/>
  <c r="G115" i="5"/>
  <c r="G116" i="5"/>
  <c r="G117" i="5"/>
  <c r="G118" i="5"/>
  <c r="G119" i="5"/>
  <c r="G120" i="5"/>
  <c r="G121" i="5"/>
  <c r="G122" i="5"/>
  <c r="G123" i="5"/>
  <c r="I123" i="5" s="1"/>
  <c r="G124" i="5"/>
  <c r="I124" i="5" s="1"/>
  <c r="G125" i="5"/>
  <c r="I158" i="5" l="1"/>
  <c r="I146" i="5"/>
  <c r="I134" i="5"/>
  <c r="I161" i="5"/>
  <c r="I149" i="5"/>
  <c r="I137" i="5"/>
  <c r="I22" i="5"/>
  <c r="I81" i="5"/>
  <c r="I57" i="5"/>
  <c r="I33" i="5"/>
  <c r="I9" i="5"/>
  <c r="I104" i="5"/>
  <c r="I80" i="5"/>
  <c r="I56" i="5"/>
  <c r="I32" i="5"/>
  <c r="I8" i="5"/>
  <c r="I145" i="5"/>
  <c r="I115" i="5"/>
  <c r="I91" i="5"/>
  <c r="I67" i="5"/>
  <c r="I43" i="5"/>
  <c r="I19" i="5"/>
  <c r="I144" i="5"/>
  <c r="I114" i="5"/>
  <c r="I102" i="5"/>
  <c r="I90" i="5"/>
  <c r="I78" i="5"/>
  <c r="I66" i="5"/>
  <c r="I54" i="5"/>
  <c r="I42" i="5"/>
  <c r="I30" i="5"/>
  <c r="I18" i="5"/>
  <c r="I6" i="5"/>
  <c r="I155" i="5"/>
  <c r="I143" i="5"/>
  <c r="I131" i="5"/>
  <c r="I69" i="5"/>
  <c r="I45" i="5"/>
  <c r="I21" i="5"/>
  <c r="I92" i="5"/>
  <c r="I68" i="5"/>
  <c r="I44" i="5"/>
  <c r="I20" i="5"/>
  <c r="I157" i="5"/>
  <c r="I133" i="5"/>
  <c r="I103" i="5"/>
  <c r="I79" i="5"/>
  <c r="I55" i="5"/>
  <c r="I31" i="5"/>
  <c r="I156" i="5"/>
  <c r="I132" i="5"/>
  <c r="I125" i="5"/>
  <c r="I113" i="5"/>
  <c r="I101" i="5"/>
  <c r="I89" i="5"/>
  <c r="I77" i="5"/>
  <c r="I65" i="5"/>
  <c r="I53" i="5"/>
  <c r="I41" i="5"/>
  <c r="I29" i="5"/>
  <c r="I17" i="5"/>
  <c r="I5" i="5"/>
  <c r="I154" i="5"/>
  <c r="I7" i="5"/>
  <c r="I160" i="5"/>
  <c r="I148" i="5"/>
  <c r="I136" i="5"/>
  <c r="I10" i="5"/>
  <c r="I159" i="5"/>
  <c r="I147" i="5"/>
  <c r="I135" i="5"/>
  <c r="I2" i="5"/>
  <c r="I14" i="5"/>
  <c r="I26" i="5"/>
  <c r="I3" i="5"/>
  <c r="I15" i="5"/>
  <c r="I27" i="5"/>
  <c r="I38" i="5"/>
  <c r="I39" i="5"/>
  <c r="I50" i="5"/>
  <c r="I62" i="5"/>
  <c r="I74" i="5"/>
  <c r="I86" i="5"/>
  <c r="I122" i="5"/>
  <c r="I98" i="5"/>
  <c r="I37" i="5"/>
  <c r="I48" i="5"/>
  <c r="I60" i="5"/>
  <c r="I72" i="5"/>
  <c r="I84" i="5"/>
  <c r="I95" i="5"/>
  <c r="I106" i="5"/>
  <c r="I117" i="5"/>
  <c r="I23" i="5"/>
  <c r="I47" i="5"/>
  <c r="I49" i="5"/>
  <c r="I61" i="5"/>
  <c r="I73" i="5"/>
  <c r="I85" i="5"/>
  <c r="I96" i="5"/>
  <c r="I107" i="5"/>
  <c r="I118" i="5"/>
  <c r="I34" i="5"/>
  <c r="I13" i="5"/>
  <c r="I25" i="5"/>
  <c r="I36" i="5"/>
  <c r="I59" i="5"/>
  <c r="I71" i="5"/>
  <c r="I83" i="5"/>
  <c r="I94" i="5"/>
  <c r="I105" i="5"/>
  <c r="I116" i="5"/>
  <c r="I97" i="5"/>
  <c r="I108" i="5"/>
  <c r="I119" i="5"/>
  <c r="I11" i="5"/>
  <c r="I12" i="5"/>
  <c r="I35" i="5"/>
  <c r="I58" i="5"/>
  <c r="I82" i="5"/>
  <c r="I120" i="5"/>
  <c r="I24" i="5"/>
  <c r="I46" i="5"/>
  <c r="I70" i="5"/>
  <c r="I93" i="5"/>
  <c r="I109" i="5"/>
  <c r="I1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4A1D5-A6A6-4161-8296-CB545E6DC363}" keepAlive="1" name="Query - formatted_process_performance_excel" description="Connessione alla query 'formatted_process_performance_excel' nella cartella di lavoro." type="5" refreshedVersion="8" background="1" saveData="1">
    <dbPr connection="Provider=Microsoft.Mashup.OleDb.1;Data Source=$Workbook$;Location=formatted_process_performance_excel;Extended Properties=&quot;&quot;" command="SELECT * FROM [formatted_process_performance_excel]"/>
  </connection>
  <connection id="2" xr16:uid="{C7A9FC3B-C5C2-41B5-8006-9B48294D0B88}" keepAlive="1" name="Query - performance_casi_speciali" description="Connessione alla query 'performance_casi_speciali' nella cartella di lavoro." type="5" refreshedVersion="8" background="1" saveData="1">
    <dbPr connection="Provider=Microsoft.Mashup.OleDb.1;Data Source=$Workbook$;Location=performance_casi_speciali;Extended Properties=&quot;&quot;" command="SELECT * FROM [performance_casi_speciali]"/>
  </connection>
</connections>
</file>

<file path=xl/sharedStrings.xml><?xml version="1.0" encoding="utf-8"?>
<sst xmlns="http://schemas.openxmlformats.org/spreadsheetml/2006/main" count="381" uniqueCount="33">
  <si>
    <t>50000x50000</t>
  </si>
  <si>
    <t>20000x20000</t>
  </si>
  <si>
    <t>13440x13440</t>
  </si>
  <si>
    <t>3360x3360</t>
  </si>
  <si>
    <t>1680x1680</t>
  </si>
  <si>
    <t>840x840</t>
  </si>
  <si>
    <t>10x10</t>
  </si>
  <si>
    <t>6x6</t>
  </si>
  <si>
    <t>OS</t>
  </si>
  <si>
    <t>Matrix Size</t>
  </si>
  <si>
    <t>Process Count</t>
  </si>
  <si>
    <t>Generations (GEN)</t>
  </si>
  <si>
    <t>Max Time (s)</t>
  </si>
  <si>
    <t>Linux</t>
  </si>
  <si>
    <t>Windows</t>
  </si>
  <si>
    <t>Sequential Time (T1)</t>
  </si>
  <si>
    <t>Speedup</t>
  </si>
  <si>
    <t>Efficency</t>
  </si>
  <si>
    <t>Rank</t>
  </si>
  <si>
    <t>20kx20k</t>
  </si>
  <si>
    <t>50kx50k</t>
  </si>
  <si>
    <t>100kx50k</t>
  </si>
  <si>
    <t>100kx100k</t>
  </si>
  <si>
    <t>Type/Tag</t>
  </si>
  <si>
    <t>NO FILE</t>
  </si>
  <si>
    <t>PROF</t>
  </si>
  <si>
    <t>SO</t>
  </si>
  <si>
    <t>Tempo Baseline (Standard)</t>
  </si>
  <si>
    <t>Differenza di Tempo (s)</t>
  </si>
  <si>
    <t>Impatto Percentuale (%)</t>
  </si>
  <si>
    <t>Efficienza</t>
  </si>
  <si>
    <t>P4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</si>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</sst>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6x6 </a:t>
            </a:r>
            <a:endParaRPr lang="it-IT"/>
          </a:p>
        </c:rich>
      </c:tx>
      <c:layout>
        <c:manualLayout>
          <c:xMode val="edge"/>
          <c:yMode val="edge"/>
          <c:x val="0.15704342430506613"/>
          <c:y val="1.5316750398235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6x6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Time'!$H$2:$H$13</c:f>
              <c:numCache>
                <c:formatCode>General</c:formatCode>
                <c:ptCount val="12"/>
                <c:pt idx="0">
                  <c:v>1</c:v>
                </c:pt>
                <c:pt idx="1">
                  <c:v>0.10032102728731943</c:v>
                </c:pt>
                <c:pt idx="2">
                  <c:v>0.2297794117647059</c:v>
                </c:pt>
                <c:pt idx="3">
                  <c:v>1.3059453947663976E-4</c:v>
                </c:pt>
                <c:pt idx="4">
                  <c:v>1.94141885102173E-4</c:v>
                </c:pt>
                <c:pt idx="5">
                  <c:v>1.9820882647689361E-4</c:v>
                </c:pt>
                <c:pt idx="6">
                  <c:v>2.5186734449206418E-4</c:v>
                </c:pt>
                <c:pt idx="7">
                  <c:v>4.0224627190110279E-5</c:v>
                </c:pt>
                <c:pt idx="8">
                  <c:v>3.4175051173721629E-5</c:v>
                </c:pt>
                <c:pt idx="9">
                  <c:v>3.555307790106005E-5</c:v>
                </c:pt>
                <c:pt idx="10">
                  <c:v>2.5083830160396043E-5</c:v>
                </c:pt>
                <c:pt idx="11">
                  <c:v>1.7280846379911527E-5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0-4530-93C8-5899E70272AD}"/>
            </c:ext>
          </c:extLst>
        </c:ser>
        <c:ser>
          <c:idx val="1"/>
          <c:order val="1"/>
          <c:tx>
            <c:v>Windows 6x6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Time'!$H$14:$H$20</c:f>
              <c:numCache>
                <c:formatCode>General</c:formatCode>
                <c:ptCount val="7"/>
                <c:pt idx="0">
                  <c:v>1</c:v>
                </c:pt>
                <c:pt idx="1">
                  <c:v>0.32926829268292684</c:v>
                </c:pt>
                <c:pt idx="2">
                  <c:v>0.21749136939010358</c:v>
                </c:pt>
                <c:pt idx="3">
                  <c:v>7.6271186440677971E-2</c:v>
                </c:pt>
                <c:pt idx="4">
                  <c:v>8.1500646830530404E-2</c:v>
                </c:pt>
                <c:pt idx="5">
                  <c:v>0.15829145728643218</c:v>
                </c:pt>
                <c:pt idx="6">
                  <c:v>7.822847682119205E-2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E0-4530-93C8-5899E70272AD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E0-4530-93C8-5899E702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10x10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Time'!$H$21:$H$32</c:f>
              <c:numCache>
                <c:formatCode>General</c:formatCode>
                <c:ptCount val="12"/>
                <c:pt idx="0">
                  <c:v>1</c:v>
                </c:pt>
                <c:pt idx="1">
                  <c:v>0.11313291139240507</c:v>
                </c:pt>
                <c:pt idx="2">
                  <c:v>0.25444839857651247</c:v>
                </c:pt>
                <c:pt idx="3">
                  <c:v>6.0637413708295872E-4</c:v>
                </c:pt>
                <c:pt idx="4">
                  <c:v>2.3336042272506226E-4</c:v>
                </c:pt>
                <c:pt idx="5">
                  <c:v>1.3641927079606847E-4</c:v>
                </c:pt>
                <c:pt idx="6">
                  <c:v>5.2995545409399855E-4</c:v>
                </c:pt>
                <c:pt idx="7">
                  <c:v>8.6737160322419613E-5</c:v>
                </c:pt>
                <c:pt idx="8">
                  <c:v>4.8896578607233964E-5</c:v>
                </c:pt>
                <c:pt idx="9">
                  <c:v>5.0539518192282722E-5</c:v>
                </c:pt>
                <c:pt idx="10">
                  <c:v>2.5114997710671364E-5</c:v>
                </c:pt>
                <c:pt idx="11">
                  <c:v>1.8616400476007041E-5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C-49EA-8569-ABC0F9EA3B22}"/>
            </c:ext>
          </c:extLst>
        </c:ser>
        <c:ser>
          <c:idx val="1"/>
          <c:order val="1"/>
          <c:tx>
            <c:v>Windows 10x10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Time'!$H$33:$H$39</c:f>
              <c:numCache>
                <c:formatCode>General</c:formatCode>
                <c:ptCount val="7"/>
                <c:pt idx="0">
                  <c:v>1</c:v>
                </c:pt>
                <c:pt idx="1">
                  <c:v>0.42521367521367526</c:v>
                </c:pt>
                <c:pt idx="2">
                  <c:v>0.12038717483363583</c:v>
                </c:pt>
                <c:pt idx="3">
                  <c:v>7.800862406899256E-2</c:v>
                </c:pt>
                <c:pt idx="4">
                  <c:v>6.145768993205683E-2</c:v>
                </c:pt>
                <c:pt idx="5">
                  <c:v>5.8051341890315057E-2</c:v>
                </c:pt>
                <c:pt idx="6">
                  <c:v>0.11761229314420805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C-49EA-8569-ABC0F9EA3B22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7C-49EA-8569-ABC0F9EA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840x840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840x840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Time'!$H$40:$H$51</c:f>
              <c:numCache>
                <c:formatCode>General</c:formatCode>
                <c:ptCount val="12"/>
                <c:pt idx="0">
                  <c:v>1</c:v>
                </c:pt>
                <c:pt idx="1">
                  <c:v>0.98087596935288202</c:v>
                </c:pt>
                <c:pt idx="2">
                  <c:v>0.99824457256070231</c:v>
                </c:pt>
                <c:pt idx="3">
                  <c:v>0.68835229413094245</c:v>
                </c:pt>
                <c:pt idx="4">
                  <c:v>0.88534264451277811</c:v>
                </c:pt>
                <c:pt idx="5">
                  <c:v>0.31019766549647243</c:v>
                </c:pt>
                <c:pt idx="6">
                  <c:v>0.3068812747505214</c:v>
                </c:pt>
                <c:pt idx="7">
                  <c:v>0.2227006007582196</c:v>
                </c:pt>
                <c:pt idx="8">
                  <c:v>0.14233636342392444</c:v>
                </c:pt>
                <c:pt idx="9">
                  <c:v>4.6424070362627551E-2</c:v>
                </c:pt>
                <c:pt idx="10">
                  <c:v>4.3365118651881855E-2</c:v>
                </c:pt>
                <c:pt idx="11">
                  <c:v>4.4146126505360442E-2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0-42B3-9830-745D49778967}"/>
            </c:ext>
          </c:extLst>
        </c:ser>
        <c:ser>
          <c:idx val="1"/>
          <c:order val="1"/>
          <c:tx>
            <c:v>Windows 840x840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Time'!$H$52:$H$58</c:f>
              <c:numCache>
                <c:formatCode>General</c:formatCode>
                <c:ptCount val="7"/>
                <c:pt idx="0">
                  <c:v>1</c:v>
                </c:pt>
                <c:pt idx="1">
                  <c:v>0.93897446620664016</c:v>
                </c:pt>
                <c:pt idx="2">
                  <c:v>0.78590541381456125</c:v>
                </c:pt>
                <c:pt idx="3">
                  <c:v>0.80958982043125349</c:v>
                </c:pt>
                <c:pt idx="4">
                  <c:v>0.76167644808310619</c:v>
                </c:pt>
                <c:pt idx="5">
                  <c:v>0.7210830948421677</c:v>
                </c:pt>
                <c:pt idx="6">
                  <c:v>0.67474514072773051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B0-42B3-9830-745D49778967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B0-42B3-9830-745D4977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1680x1680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1680x1680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Time'!$H$59:$H$70</c:f>
              <c:numCache>
                <c:formatCode>General</c:formatCode>
                <c:ptCount val="12"/>
                <c:pt idx="0">
                  <c:v>1</c:v>
                </c:pt>
                <c:pt idx="1">
                  <c:v>1.9996892666146961</c:v>
                </c:pt>
                <c:pt idx="2">
                  <c:v>1.9942281694326753</c:v>
                </c:pt>
                <c:pt idx="3">
                  <c:v>0.62211879182034246</c:v>
                </c:pt>
                <c:pt idx="4">
                  <c:v>0.89755947564858807</c:v>
                </c:pt>
                <c:pt idx="5">
                  <c:v>0.37706125145366071</c:v>
                </c:pt>
                <c:pt idx="6">
                  <c:v>0.31387918322176178</c:v>
                </c:pt>
                <c:pt idx="7">
                  <c:v>0.1649002844562911</c:v>
                </c:pt>
                <c:pt idx="8">
                  <c:v>0.12524375534486304</c:v>
                </c:pt>
                <c:pt idx="9">
                  <c:v>4.5474856119702589E-2</c:v>
                </c:pt>
                <c:pt idx="10">
                  <c:v>4.021821647274082E-2</c:v>
                </c:pt>
                <c:pt idx="11">
                  <c:v>2.562470300624798E-2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5-4B89-B2A7-7A7F5DFDFBC3}"/>
            </c:ext>
          </c:extLst>
        </c:ser>
        <c:ser>
          <c:idx val="1"/>
          <c:order val="1"/>
          <c:tx>
            <c:v>Windows 1680x1680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Time'!$H$71:$H$77</c:f>
              <c:numCache>
                <c:formatCode>General</c:formatCode>
                <c:ptCount val="7"/>
                <c:pt idx="0">
                  <c:v>1</c:v>
                </c:pt>
                <c:pt idx="1">
                  <c:v>1.7707076953082579</c:v>
                </c:pt>
                <c:pt idx="2">
                  <c:v>1.4615726571404004</c:v>
                </c:pt>
                <c:pt idx="3">
                  <c:v>1.4318680786925437</c:v>
                </c:pt>
                <c:pt idx="4">
                  <c:v>1.3590524338962753</c:v>
                </c:pt>
                <c:pt idx="5">
                  <c:v>1.3073854189849059</c:v>
                </c:pt>
                <c:pt idx="6">
                  <c:v>1.2241765280027213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5-4B89-B2A7-7A7F5DFDFBC3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B5-4B89-B2A7-7A7F5DFDF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3360x3360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3360x3360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Time'!$H$78:$H$89</c:f>
              <c:numCache>
                <c:formatCode>General</c:formatCode>
                <c:ptCount val="12"/>
                <c:pt idx="0">
                  <c:v>1</c:v>
                </c:pt>
                <c:pt idx="1">
                  <c:v>1.9930980237215321</c:v>
                </c:pt>
                <c:pt idx="2">
                  <c:v>3.9417263959180655</c:v>
                </c:pt>
                <c:pt idx="3">
                  <c:v>2.2108280132569367</c:v>
                </c:pt>
                <c:pt idx="4">
                  <c:v>3.6468214572457511</c:v>
                </c:pt>
                <c:pt idx="5">
                  <c:v>2.1552096094866311</c:v>
                </c:pt>
                <c:pt idx="6">
                  <c:v>2.0432485528363475</c:v>
                </c:pt>
                <c:pt idx="7">
                  <c:v>0.14553679454439811</c:v>
                </c:pt>
                <c:pt idx="8">
                  <c:v>8.2933518287862704E-2</c:v>
                </c:pt>
                <c:pt idx="9">
                  <c:v>4.9253554572873129E-2</c:v>
                </c:pt>
                <c:pt idx="10">
                  <c:v>1.7892375602690944E-2</c:v>
                </c:pt>
                <c:pt idx="11">
                  <c:v>2.1342214494848518E-2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9-4626-A234-19A580FB4412}"/>
            </c:ext>
          </c:extLst>
        </c:ser>
        <c:ser>
          <c:idx val="1"/>
          <c:order val="1"/>
          <c:tx>
            <c:v>Windows 3360x3360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Time'!$H$90:$H$96</c:f>
              <c:numCache>
                <c:formatCode>General</c:formatCode>
                <c:ptCount val="7"/>
                <c:pt idx="0">
                  <c:v>1</c:v>
                </c:pt>
                <c:pt idx="1">
                  <c:v>1.8808241887551684</c:v>
                </c:pt>
                <c:pt idx="2">
                  <c:v>2.7289874734584121</c:v>
                </c:pt>
                <c:pt idx="3">
                  <c:v>3.9484492139204441</c:v>
                </c:pt>
                <c:pt idx="4">
                  <c:v>4.8544509025077272</c:v>
                </c:pt>
                <c:pt idx="5">
                  <c:v>5.5663318435868634</c:v>
                </c:pt>
                <c:pt idx="6">
                  <c:v>5.742827755165302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9-4626-A234-19A580FB4412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F9-4626-A234-19A580FB4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13440x13440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13440x13440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Time'!$H$97:$H$108</c:f>
              <c:numCache>
                <c:formatCode>General</c:formatCode>
                <c:ptCount val="12"/>
                <c:pt idx="0">
                  <c:v>1</c:v>
                </c:pt>
                <c:pt idx="1">
                  <c:v>1.9951288923804462</c:v>
                </c:pt>
                <c:pt idx="2">
                  <c:v>3.9813026256464323</c:v>
                </c:pt>
                <c:pt idx="3">
                  <c:v>2.7543692300482951</c:v>
                </c:pt>
                <c:pt idx="4">
                  <c:v>3.7298329881871393</c:v>
                </c:pt>
                <c:pt idx="5">
                  <c:v>2.9359654178347721</c:v>
                </c:pt>
                <c:pt idx="6">
                  <c:v>3.465401708075365</c:v>
                </c:pt>
                <c:pt idx="7">
                  <c:v>3.3155775424942511</c:v>
                </c:pt>
                <c:pt idx="8">
                  <c:v>2.5100240898746256</c:v>
                </c:pt>
                <c:pt idx="9">
                  <c:v>1.5960129927889914</c:v>
                </c:pt>
                <c:pt idx="10">
                  <c:v>2.2147756990867653</c:v>
                </c:pt>
                <c:pt idx="11">
                  <c:v>1.2853431088802325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8-48C4-BACF-FF295E4C77EF}"/>
            </c:ext>
          </c:extLst>
        </c:ser>
        <c:ser>
          <c:idx val="1"/>
          <c:order val="1"/>
          <c:tx>
            <c:v>Windows 13440x13440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Time'!$H$110:$H$115</c:f>
              <c:numCache>
                <c:formatCode>General</c:formatCode>
                <c:ptCount val="6"/>
                <c:pt idx="0">
                  <c:v>1.8652508808896546</c:v>
                </c:pt>
                <c:pt idx="1">
                  <c:v>2.7978284346096989</c:v>
                </c:pt>
                <c:pt idx="2">
                  <c:v>3.6990032010847353</c:v>
                </c:pt>
                <c:pt idx="3">
                  <c:v>4.5852421559368493</c:v>
                </c:pt>
                <c:pt idx="4">
                  <c:v>5.2945564614768186</c:v>
                </c:pt>
                <c:pt idx="5">
                  <c:v>5.3001308289282969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8-48C4-BACF-FF295E4C77EF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68-48C4-BACF-FF295E4C7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20Kx20K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20Kx20K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Time'!$H$116:$H$127</c:f>
              <c:numCache>
                <c:formatCode>General</c:formatCode>
                <c:ptCount val="12"/>
                <c:pt idx="0">
                  <c:v>1</c:v>
                </c:pt>
                <c:pt idx="1">
                  <c:v>1.9962897625417175</c:v>
                </c:pt>
                <c:pt idx="2">
                  <c:v>3.9849924817890168</c:v>
                </c:pt>
                <c:pt idx="3">
                  <c:v>5.9814995803877586</c:v>
                </c:pt>
                <c:pt idx="4">
                  <c:v>7.9553201488885845</c:v>
                </c:pt>
                <c:pt idx="5">
                  <c:v>9.9143396170539866</c:v>
                </c:pt>
                <c:pt idx="6">
                  <c:v>11.890522381646647</c:v>
                </c:pt>
                <c:pt idx="7">
                  <c:v>15.828314675523282</c:v>
                </c:pt>
                <c:pt idx="8">
                  <c:v>19.696803020478011</c:v>
                </c:pt>
                <c:pt idx="9">
                  <c:v>23.588252376906546</c:v>
                </c:pt>
                <c:pt idx="10">
                  <c:v>27.584033030193552</c:v>
                </c:pt>
                <c:pt idx="11">
                  <c:v>31.433036873327335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E-46F9-8BCF-E5A4D9C8997E}"/>
            </c:ext>
          </c:extLst>
        </c:ser>
        <c:ser>
          <c:idx val="1"/>
          <c:order val="1"/>
          <c:tx>
            <c:v>Windows 20Kx20K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Time'!$H$128:$H$134</c:f>
              <c:numCache>
                <c:formatCode>General</c:formatCode>
                <c:ptCount val="7"/>
                <c:pt idx="0">
                  <c:v>1</c:v>
                </c:pt>
                <c:pt idx="1">
                  <c:v>1.8945960095872214</c:v>
                </c:pt>
                <c:pt idx="2">
                  <c:v>2.9064051218260127</c:v>
                </c:pt>
                <c:pt idx="3">
                  <c:v>3.9635934018851611</c:v>
                </c:pt>
                <c:pt idx="4">
                  <c:v>4.8747201534889948</c:v>
                </c:pt>
                <c:pt idx="5">
                  <c:v>5.7706889753863129</c:v>
                </c:pt>
                <c:pt idx="6">
                  <c:v>5.8858806753286235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E-46F9-8BCF-E5A4D9C8997E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7E-46F9-8BCF-E5A4D9C89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50Kx50K 20GEN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50Kx50K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Time'!$H$135:$H$146</c:f>
              <c:numCache>
                <c:formatCode>General</c:formatCode>
                <c:ptCount val="12"/>
                <c:pt idx="0">
                  <c:v>1</c:v>
                </c:pt>
                <c:pt idx="1">
                  <c:v>1.9988863491275424</c:v>
                </c:pt>
                <c:pt idx="2">
                  <c:v>3.9925314168512411</c:v>
                </c:pt>
                <c:pt idx="3">
                  <c:v>5.990773854587415</c:v>
                </c:pt>
                <c:pt idx="4">
                  <c:v>7.9820067559823604</c:v>
                </c:pt>
                <c:pt idx="5">
                  <c:v>9.9676012420954692</c:v>
                </c:pt>
                <c:pt idx="6">
                  <c:v>11.940900047083971</c:v>
                </c:pt>
                <c:pt idx="7">
                  <c:v>15.90827687162203</c:v>
                </c:pt>
                <c:pt idx="8">
                  <c:v>19.887365134734132</c:v>
                </c:pt>
                <c:pt idx="9">
                  <c:v>23.832879992123008</c:v>
                </c:pt>
                <c:pt idx="10">
                  <c:v>27.811438560898143</c:v>
                </c:pt>
                <c:pt idx="11">
                  <c:v>31.716712882066709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0-459D-AA61-7BFDF2E3776A}"/>
            </c:ext>
          </c:extLst>
        </c:ser>
        <c:ser>
          <c:idx val="1"/>
          <c:order val="1"/>
          <c:tx>
            <c:v>Windows 50Kx50K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Time'!$H$147:$H$153</c:f>
              <c:numCache>
                <c:formatCode>General</c:formatCode>
                <c:ptCount val="7"/>
                <c:pt idx="0">
                  <c:v>1</c:v>
                </c:pt>
                <c:pt idx="1">
                  <c:v>2.6685687344857776</c:v>
                </c:pt>
                <c:pt idx="2">
                  <c:v>5.0999928575917508</c:v>
                </c:pt>
                <c:pt idx="3">
                  <c:v>6.6667523249860974</c:v>
                </c:pt>
                <c:pt idx="4">
                  <c:v>7.9478599386774009</c:v>
                </c:pt>
                <c:pt idx="5">
                  <c:v>9.6664497809397378</c:v>
                </c:pt>
                <c:pt idx="6">
                  <c:v>10.366295507337197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0-459D-AA61-7BFDF2E3776A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40-459D-AA61-7BFDF2E37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Linux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2"/>
          <c:order val="0"/>
          <c:tx>
            <c:v>Speedup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7E-45CC-BF1F-24DCCFFEB859}"/>
            </c:ext>
          </c:extLst>
        </c:ser>
        <c:ser>
          <c:idx val="1"/>
          <c:order val="1"/>
          <c:tx>
            <c:v>Linux 6x6</c:v>
          </c:tx>
          <c:spPr>
            <a:ln w="19050" cap="rnd">
              <a:solidFill>
                <a:schemeClr val="accent1">
                  <a:shade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5000"/>
                </a:schemeClr>
              </a:solidFill>
              <a:ln w="9525">
                <a:solidFill>
                  <a:schemeClr val="accent1">
                    <a:shade val="55000"/>
                  </a:schemeClr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Time'!$H$2:$H$13</c:f>
              <c:numCache>
                <c:formatCode>General</c:formatCode>
                <c:ptCount val="12"/>
                <c:pt idx="0">
                  <c:v>1</c:v>
                </c:pt>
                <c:pt idx="1">
                  <c:v>0.10032102728731943</c:v>
                </c:pt>
                <c:pt idx="2">
                  <c:v>0.2297794117647059</c:v>
                </c:pt>
                <c:pt idx="3">
                  <c:v>1.3059453947663976E-4</c:v>
                </c:pt>
                <c:pt idx="4">
                  <c:v>1.94141885102173E-4</c:v>
                </c:pt>
                <c:pt idx="5">
                  <c:v>1.9820882647689361E-4</c:v>
                </c:pt>
                <c:pt idx="6">
                  <c:v>2.5186734449206418E-4</c:v>
                </c:pt>
                <c:pt idx="7">
                  <c:v>4.0224627190110279E-5</c:v>
                </c:pt>
                <c:pt idx="8">
                  <c:v>3.4175051173721629E-5</c:v>
                </c:pt>
                <c:pt idx="9">
                  <c:v>3.555307790106005E-5</c:v>
                </c:pt>
                <c:pt idx="10">
                  <c:v>2.5083830160396043E-5</c:v>
                </c:pt>
                <c:pt idx="11">
                  <c:v>1.7280846379911527E-5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7E-45CC-BF1F-24DCCFFEB859}"/>
            </c:ext>
          </c:extLst>
        </c:ser>
        <c:ser>
          <c:idx val="3"/>
          <c:order val="2"/>
          <c:tx>
            <c:v>Linux 10x10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Time'!$H$21:$H$32</c:f>
              <c:numCache>
                <c:formatCode>General</c:formatCode>
                <c:ptCount val="12"/>
                <c:pt idx="0">
                  <c:v>1</c:v>
                </c:pt>
                <c:pt idx="1">
                  <c:v>0.11313291139240507</c:v>
                </c:pt>
                <c:pt idx="2">
                  <c:v>0.25444839857651247</c:v>
                </c:pt>
                <c:pt idx="3">
                  <c:v>6.0637413708295872E-4</c:v>
                </c:pt>
                <c:pt idx="4">
                  <c:v>2.3336042272506226E-4</c:v>
                </c:pt>
                <c:pt idx="5">
                  <c:v>1.3641927079606847E-4</c:v>
                </c:pt>
                <c:pt idx="6">
                  <c:v>5.2995545409399855E-4</c:v>
                </c:pt>
                <c:pt idx="7">
                  <c:v>8.6737160322419613E-5</c:v>
                </c:pt>
                <c:pt idx="8">
                  <c:v>4.8896578607233964E-5</c:v>
                </c:pt>
                <c:pt idx="9">
                  <c:v>5.0539518192282722E-5</c:v>
                </c:pt>
                <c:pt idx="10">
                  <c:v>2.5114997710671364E-5</c:v>
                </c:pt>
                <c:pt idx="11">
                  <c:v>1.8616400476007041E-5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7E-45CC-BF1F-24DCCFFEB859}"/>
            </c:ext>
          </c:extLst>
        </c:ser>
        <c:ser>
          <c:idx val="4"/>
          <c:order val="3"/>
          <c:tx>
            <c:v>Linux 840x840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Time'!$H$40:$H$51</c:f>
              <c:numCache>
                <c:formatCode>General</c:formatCode>
                <c:ptCount val="12"/>
                <c:pt idx="0">
                  <c:v>1</c:v>
                </c:pt>
                <c:pt idx="1">
                  <c:v>0.98087596935288202</c:v>
                </c:pt>
                <c:pt idx="2">
                  <c:v>0.99824457256070231</c:v>
                </c:pt>
                <c:pt idx="3">
                  <c:v>0.68835229413094245</c:v>
                </c:pt>
                <c:pt idx="4">
                  <c:v>0.88534264451277811</c:v>
                </c:pt>
                <c:pt idx="5">
                  <c:v>0.31019766549647243</c:v>
                </c:pt>
                <c:pt idx="6">
                  <c:v>0.3068812747505214</c:v>
                </c:pt>
                <c:pt idx="7">
                  <c:v>0.2227006007582196</c:v>
                </c:pt>
                <c:pt idx="8">
                  <c:v>0.14233636342392444</c:v>
                </c:pt>
                <c:pt idx="9">
                  <c:v>4.6424070362627551E-2</c:v>
                </c:pt>
                <c:pt idx="10">
                  <c:v>4.3365118651881855E-2</c:v>
                </c:pt>
                <c:pt idx="11">
                  <c:v>4.4146126505360442E-2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7E-45CC-BF1F-24DCCFFEB859}"/>
            </c:ext>
          </c:extLst>
        </c:ser>
        <c:ser>
          <c:idx val="5"/>
          <c:order val="4"/>
          <c:tx>
            <c:v>Linux 1680x1680</c:v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Time'!$H$59:$H$70</c:f>
              <c:numCache>
                <c:formatCode>General</c:formatCode>
                <c:ptCount val="12"/>
                <c:pt idx="0">
                  <c:v>1</c:v>
                </c:pt>
                <c:pt idx="1">
                  <c:v>1.9996892666146961</c:v>
                </c:pt>
                <c:pt idx="2">
                  <c:v>1.9942281694326753</c:v>
                </c:pt>
                <c:pt idx="3">
                  <c:v>0.62211879182034246</c:v>
                </c:pt>
                <c:pt idx="4">
                  <c:v>0.89755947564858807</c:v>
                </c:pt>
                <c:pt idx="5">
                  <c:v>0.37706125145366071</c:v>
                </c:pt>
                <c:pt idx="6">
                  <c:v>0.31387918322176178</c:v>
                </c:pt>
                <c:pt idx="7">
                  <c:v>0.1649002844562911</c:v>
                </c:pt>
                <c:pt idx="8">
                  <c:v>0.12524375534486304</c:v>
                </c:pt>
                <c:pt idx="9">
                  <c:v>4.5474856119702589E-2</c:v>
                </c:pt>
                <c:pt idx="10">
                  <c:v>4.021821647274082E-2</c:v>
                </c:pt>
                <c:pt idx="11">
                  <c:v>2.562470300624798E-2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7E-45CC-BF1F-24DCCFFEB859}"/>
            </c:ext>
          </c:extLst>
        </c:ser>
        <c:ser>
          <c:idx val="6"/>
          <c:order val="5"/>
          <c:tx>
            <c:v>Linux 3360x3360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Time'!$H$78:$H$89</c:f>
              <c:numCache>
                <c:formatCode>General</c:formatCode>
                <c:ptCount val="12"/>
                <c:pt idx="0">
                  <c:v>1</c:v>
                </c:pt>
                <c:pt idx="1">
                  <c:v>1.9930980237215321</c:v>
                </c:pt>
                <c:pt idx="2">
                  <c:v>3.9417263959180655</c:v>
                </c:pt>
                <c:pt idx="3">
                  <c:v>2.2108280132569367</c:v>
                </c:pt>
                <c:pt idx="4">
                  <c:v>3.6468214572457511</c:v>
                </c:pt>
                <c:pt idx="5">
                  <c:v>2.1552096094866311</c:v>
                </c:pt>
                <c:pt idx="6">
                  <c:v>2.0432485528363475</c:v>
                </c:pt>
                <c:pt idx="7">
                  <c:v>0.14553679454439811</c:v>
                </c:pt>
                <c:pt idx="8">
                  <c:v>8.2933518287862704E-2</c:v>
                </c:pt>
                <c:pt idx="9">
                  <c:v>4.9253554572873129E-2</c:v>
                </c:pt>
                <c:pt idx="10">
                  <c:v>1.7892375602690944E-2</c:v>
                </c:pt>
                <c:pt idx="11">
                  <c:v>2.1342214494848518E-2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7E-45CC-BF1F-24DCCFFEB859}"/>
            </c:ext>
          </c:extLst>
        </c:ser>
        <c:ser>
          <c:idx val="7"/>
          <c:order val="6"/>
          <c:tx>
            <c:v>Linux 13440x13440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Time'!$H$97:$H$108</c:f>
              <c:numCache>
                <c:formatCode>General</c:formatCode>
                <c:ptCount val="12"/>
                <c:pt idx="0">
                  <c:v>1</c:v>
                </c:pt>
                <c:pt idx="1">
                  <c:v>1.9951288923804462</c:v>
                </c:pt>
                <c:pt idx="2">
                  <c:v>3.9813026256464323</c:v>
                </c:pt>
                <c:pt idx="3">
                  <c:v>2.7543692300482951</c:v>
                </c:pt>
                <c:pt idx="4">
                  <c:v>3.7298329881871393</c:v>
                </c:pt>
                <c:pt idx="5">
                  <c:v>2.9359654178347721</c:v>
                </c:pt>
                <c:pt idx="6">
                  <c:v>3.465401708075365</c:v>
                </c:pt>
                <c:pt idx="7">
                  <c:v>3.3155775424942511</c:v>
                </c:pt>
                <c:pt idx="8">
                  <c:v>2.5100240898746256</c:v>
                </c:pt>
                <c:pt idx="9">
                  <c:v>1.5960129927889914</c:v>
                </c:pt>
                <c:pt idx="10">
                  <c:v>2.2147756990867653</c:v>
                </c:pt>
                <c:pt idx="11">
                  <c:v>1.2853431088802325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7E-45CC-BF1F-24DCCFFEB859}"/>
            </c:ext>
          </c:extLst>
        </c:ser>
        <c:ser>
          <c:idx val="8"/>
          <c:order val="7"/>
          <c:tx>
            <c:v>Linux 20Kx20K</c:v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Time'!$H$116:$H$127</c:f>
              <c:numCache>
                <c:formatCode>General</c:formatCode>
                <c:ptCount val="12"/>
                <c:pt idx="0">
                  <c:v>1</c:v>
                </c:pt>
                <c:pt idx="1">
                  <c:v>1.9962897625417175</c:v>
                </c:pt>
                <c:pt idx="2">
                  <c:v>3.9849924817890168</c:v>
                </c:pt>
                <c:pt idx="3">
                  <c:v>5.9814995803877586</c:v>
                </c:pt>
                <c:pt idx="4">
                  <c:v>7.9553201488885845</c:v>
                </c:pt>
                <c:pt idx="5">
                  <c:v>9.9143396170539866</c:v>
                </c:pt>
                <c:pt idx="6">
                  <c:v>11.890522381646647</c:v>
                </c:pt>
                <c:pt idx="7">
                  <c:v>15.828314675523282</c:v>
                </c:pt>
                <c:pt idx="8">
                  <c:v>19.696803020478011</c:v>
                </c:pt>
                <c:pt idx="9">
                  <c:v>23.588252376906546</c:v>
                </c:pt>
                <c:pt idx="10">
                  <c:v>27.584033030193552</c:v>
                </c:pt>
                <c:pt idx="11">
                  <c:v>31.433036873327335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7E-45CC-BF1F-24DCCFFEB859}"/>
            </c:ext>
          </c:extLst>
        </c:ser>
        <c:ser>
          <c:idx val="9"/>
          <c:order val="8"/>
          <c:tx>
            <c:v>Linux 50Kx50K 20GEN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Time'!$H$135:$H$146</c:f>
              <c:numCache>
                <c:formatCode>General</c:formatCode>
                <c:ptCount val="12"/>
                <c:pt idx="0">
                  <c:v>1</c:v>
                </c:pt>
                <c:pt idx="1">
                  <c:v>1.9988863491275424</c:v>
                </c:pt>
                <c:pt idx="2">
                  <c:v>3.9925314168512411</c:v>
                </c:pt>
                <c:pt idx="3">
                  <c:v>5.990773854587415</c:v>
                </c:pt>
                <c:pt idx="4">
                  <c:v>7.9820067559823604</c:v>
                </c:pt>
                <c:pt idx="5">
                  <c:v>9.9676012420954692</c:v>
                </c:pt>
                <c:pt idx="6">
                  <c:v>11.940900047083971</c:v>
                </c:pt>
                <c:pt idx="7">
                  <c:v>15.90827687162203</c:v>
                </c:pt>
                <c:pt idx="8">
                  <c:v>19.887365134734132</c:v>
                </c:pt>
                <c:pt idx="9">
                  <c:v>23.832879992123008</c:v>
                </c:pt>
                <c:pt idx="10">
                  <c:v>27.811438560898143</c:v>
                </c:pt>
                <c:pt idx="11">
                  <c:v>31.716712882066709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7E-45CC-BF1F-24DCCFFEB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Windows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2"/>
          <c:order val="0"/>
          <c:tx>
            <c:v>Speedup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prstDash val="lgDash"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9-4B7A-891A-E944C5D4B061}"/>
            </c:ext>
          </c:extLst>
        </c:ser>
        <c:ser>
          <c:idx val="0"/>
          <c:order val="1"/>
          <c:tx>
            <c:v>Windows 6x6</c:v>
          </c:tx>
          <c:spPr>
            <a:ln w="19050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44000"/>
                </a:schemeClr>
              </a:solidFill>
              <a:ln w="9525">
                <a:solidFill>
                  <a:schemeClr val="accent4">
                    <a:tint val="44000"/>
                  </a:schemeClr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Time'!$H$14:$H$20</c:f>
              <c:numCache>
                <c:formatCode>General</c:formatCode>
                <c:ptCount val="7"/>
                <c:pt idx="0">
                  <c:v>1</c:v>
                </c:pt>
                <c:pt idx="1">
                  <c:v>0.32926829268292684</c:v>
                </c:pt>
                <c:pt idx="2">
                  <c:v>0.21749136939010358</c:v>
                </c:pt>
                <c:pt idx="3">
                  <c:v>7.6271186440677971E-2</c:v>
                </c:pt>
                <c:pt idx="4">
                  <c:v>8.1500646830530404E-2</c:v>
                </c:pt>
                <c:pt idx="5">
                  <c:v>0.15829145728643218</c:v>
                </c:pt>
                <c:pt idx="6">
                  <c:v>7.822847682119205E-2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899-4B7A-891A-E944C5D4B061}"/>
            </c:ext>
          </c:extLst>
        </c:ser>
        <c:ser>
          <c:idx val="1"/>
          <c:order val="2"/>
          <c:tx>
            <c:v>Windows 10x10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Time'!$H$33:$H$39</c:f>
              <c:numCache>
                <c:formatCode>General</c:formatCode>
                <c:ptCount val="7"/>
                <c:pt idx="0">
                  <c:v>1</c:v>
                </c:pt>
                <c:pt idx="1">
                  <c:v>0.42521367521367526</c:v>
                </c:pt>
                <c:pt idx="2">
                  <c:v>0.12038717483363583</c:v>
                </c:pt>
                <c:pt idx="3">
                  <c:v>7.800862406899256E-2</c:v>
                </c:pt>
                <c:pt idx="4">
                  <c:v>6.145768993205683E-2</c:v>
                </c:pt>
                <c:pt idx="5">
                  <c:v>5.8051341890315057E-2</c:v>
                </c:pt>
                <c:pt idx="6">
                  <c:v>0.11761229314420805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99-4B7A-891A-E944C5D4B061}"/>
            </c:ext>
          </c:extLst>
        </c:ser>
        <c:ser>
          <c:idx val="3"/>
          <c:order val="3"/>
          <c:tx>
            <c:v>Windows 840x840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Time'!$H$52:$H$58</c:f>
              <c:numCache>
                <c:formatCode>General</c:formatCode>
                <c:ptCount val="7"/>
                <c:pt idx="0">
                  <c:v>1</c:v>
                </c:pt>
                <c:pt idx="1">
                  <c:v>0.93897446620664016</c:v>
                </c:pt>
                <c:pt idx="2">
                  <c:v>0.78590541381456125</c:v>
                </c:pt>
                <c:pt idx="3">
                  <c:v>0.80958982043125349</c:v>
                </c:pt>
                <c:pt idx="4">
                  <c:v>0.76167644808310619</c:v>
                </c:pt>
                <c:pt idx="5">
                  <c:v>0.7210830948421677</c:v>
                </c:pt>
                <c:pt idx="6">
                  <c:v>0.67474514072773051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899-4B7A-891A-E944C5D4B061}"/>
            </c:ext>
          </c:extLst>
        </c:ser>
        <c:ser>
          <c:idx val="4"/>
          <c:order val="4"/>
          <c:tx>
            <c:v>Windows 1680x1680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Time'!$H$71:$H$77</c:f>
              <c:numCache>
                <c:formatCode>General</c:formatCode>
                <c:ptCount val="7"/>
                <c:pt idx="0">
                  <c:v>1</c:v>
                </c:pt>
                <c:pt idx="1">
                  <c:v>1.7707076953082579</c:v>
                </c:pt>
                <c:pt idx="2">
                  <c:v>1.4615726571404004</c:v>
                </c:pt>
                <c:pt idx="3">
                  <c:v>1.4318680786925437</c:v>
                </c:pt>
                <c:pt idx="4">
                  <c:v>1.3590524338962753</c:v>
                </c:pt>
                <c:pt idx="5">
                  <c:v>1.3073854189849059</c:v>
                </c:pt>
                <c:pt idx="6">
                  <c:v>1.2241765280027213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899-4B7A-891A-E944C5D4B061}"/>
            </c:ext>
          </c:extLst>
        </c:ser>
        <c:ser>
          <c:idx val="5"/>
          <c:order val="5"/>
          <c:tx>
            <c:v>Windows 3360x3360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Time'!$H$90:$H$96</c:f>
              <c:numCache>
                <c:formatCode>General</c:formatCode>
                <c:ptCount val="7"/>
                <c:pt idx="0">
                  <c:v>1</c:v>
                </c:pt>
                <c:pt idx="1">
                  <c:v>1.8808241887551684</c:v>
                </c:pt>
                <c:pt idx="2">
                  <c:v>2.7289874734584121</c:v>
                </c:pt>
                <c:pt idx="3">
                  <c:v>3.9484492139204441</c:v>
                </c:pt>
                <c:pt idx="4">
                  <c:v>4.8544509025077272</c:v>
                </c:pt>
                <c:pt idx="5">
                  <c:v>5.5663318435868634</c:v>
                </c:pt>
                <c:pt idx="6">
                  <c:v>5.742827755165302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899-4B7A-891A-E944C5D4B061}"/>
            </c:ext>
          </c:extLst>
        </c:ser>
        <c:ser>
          <c:idx val="6"/>
          <c:order val="6"/>
          <c:tx>
            <c:v>Windows 13440x13440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Time'!$H$109:$H$115</c:f>
              <c:numCache>
                <c:formatCode>General</c:formatCode>
                <c:ptCount val="7"/>
                <c:pt idx="0">
                  <c:v>1</c:v>
                </c:pt>
                <c:pt idx="1">
                  <c:v>1.8652508808896546</c:v>
                </c:pt>
                <c:pt idx="2">
                  <c:v>2.7978284346096989</c:v>
                </c:pt>
                <c:pt idx="3">
                  <c:v>3.6990032010847353</c:v>
                </c:pt>
                <c:pt idx="4">
                  <c:v>4.5852421559368493</c:v>
                </c:pt>
                <c:pt idx="5">
                  <c:v>5.2945564614768186</c:v>
                </c:pt>
                <c:pt idx="6">
                  <c:v>5.3001308289282969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899-4B7A-891A-E944C5D4B061}"/>
            </c:ext>
          </c:extLst>
        </c:ser>
        <c:ser>
          <c:idx val="7"/>
          <c:order val="7"/>
          <c:tx>
            <c:v>Windows 20Kx20K</c:v>
          </c:tx>
          <c:spPr>
            <a:ln w="19050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58000"/>
                </a:schemeClr>
              </a:solidFill>
              <a:ln w="9525">
                <a:solidFill>
                  <a:schemeClr val="accent4">
                    <a:shade val="58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Time'!$H$128:$H$134</c:f>
              <c:numCache>
                <c:formatCode>General</c:formatCode>
                <c:ptCount val="7"/>
                <c:pt idx="0">
                  <c:v>1</c:v>
                </c:pt>
                <c:pt idx="1">
                  <c:v>1.8945960095872214</c:v>
                </c:pt>
                <c:pt idx="2">
                  <c:v>2.9064051218260127</c:v>
                </c:pt>
                <c:pt idx="3">
                  <c:v>3.9635934018851611</c:v>
                </c:pt>
                <c:pt idx="4">
                  <c:v>4.8747201534889948</c:v>
                </c:pt>
                <c:pt idx="5">
                  <c:v>5.7706889753863129</c:v>
                </c:pt>
                <c:pt idx="6">
                  <c:v>5.8858806753286235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899-4B7A-891A-E944C5D4B061}"/>
            </c:ext>
          </c:extLst>
        </c:ser>
        <c:ser>
          <c:idx val="8"/>
          <c:order val="8"/>
          <c:tx>
            <c:v>Windows 50Kx50K 20GEN</c:v>
          </c:tx>
          <c:spPr>
            <a:ln w="19050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4000"/>
                </a:schemeClr>
              </a:solidFill>
              <a:ln w="9525">
                <a:solidFill>
                  <a:schemeClr val="accent4">
                    <a:shade val="44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Time'!$H$147:$H$153</c:f>
              <c:numCache>
                <c:formatCode>General</c:formatCode>
                <c:ptCount val="7"/>
                <c:pt idx="0">
                  <c:v>1</c:v>
                </c:pt>
                <c:pt idx="1">
                  <c:v>2.6685687344857776</c:v>
                </c:pt>
                <c:pt idx="2">
                  <c:v>5.0999928575917508</c:v>
                </c:pt>
                <c:pt idx="3">
                  <c:v>6.6667523249860974</c:v>
                </c:pt>
                <c:pt idx="4">
                  <c:v>7.9478599386774009</c:v>
                </c:pt>
                <c:pt idx="5">
                  <c:v>9.6664497809397378</c:v>
                </c:pt>
                <c:pt idx="6">
                  <c:v>10.366295507337197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899-4B7A-891A-E944C5D4B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6x6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6x6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Time'!$I$2:$I$13</c:f>
              <c:numCache>
                <c:formatCode>General</c:formatCode>
                <c:ptCount val="12"/>
                <c:pt idx="0">
                  <c:v>1</c:v>
                </c:pt>
                <c:pt idx="1">
                  <c:v>5.0160513643659713E-2</c:v>
                </c:pt>
                <c:pt idx="2">
                  <c:v>5.7444852941176475E-2</c:v>
                </c:pt>
                <c:pt idx="3">
                  <c:v>2.1765756579439959E-5</c:v>
                </c:pt>
                <c:pt idx="4">
                  <c:v>2.4267735637771625E-5</c:v>
                </c:pt>
                <c:pt idx="5">
                  <c:v>1.982088264768936E-5</c:v>
                </c:pt>
                <c:pt idx="6">
                  <c:v>2.0988945374338681E-5</c:v>
                </c:pt>
                <c:pt idx="7">
                  <c:v>2.5140391993818924E-6</c:v>
                </c:pt>
                <c:pt idx="8">
                  <c:v>1.7087525586860816E-6</c:v>
                </c:pt>
                <c:pt idx="9">
                  <c:v>1.4813782458775021E-6</c:v>
                </c:pt>
                <c:pt idx="10">
                  <c:v>8.9585107715700153E-7</c:v>
                </c:pt>
                <c:pt idx="11">
                  <c:v>5.4002644937223523E-7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A-420A-ACE0-2498D1B39E6C}"/>
            </c:ext>
          </c:extLst>
        </c:ser>
        <c:ser>
          <c:idx val="1"/>
          <c:order val="1"/>
          <c:tx>
            <c:v>Windows 6x6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Time'!$I$14:$I$20</c:f>
              <c:numCache>
                <c:formatCode>General</c:formatCode>
                <c:ptCount val="7"/>
                <c:pt idx="0">
                  <c:v>1</c:v>
                </c:pt>
                <c:pt idx="1">
                  <c:v>0.16463414634146342</c:v>
                </c:pt>
                <c:pt idx="2">
                  <c:v>5.4372842347525895E-2</c:v>
                </c:pt>
                <c:pt idx="3">
                  <c:v>1.2711864406779662E-2</c:v>
                </c:pt>
                <c:pt idx="4">
                  <c:v>1.0187580853816301E-2</c:v>
                </c:pt>
                <c:pt idx="5">
                  <c:v>1.5829145728643218E-2</c:v>
                </c:pt>
                <c:pt idx="6">
                  <c:v>6.5190397350993372E-3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CA-420A-ACE0-2498D1B39E6C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CA-420A-ACE0-2498D1B3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10x10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642179083377336"/>
          <c:y val="0.11786993634973107"/>
          <c:w val="0.6323523904157311"/>
          <c:h val="0.73097572408348543"/>
        </c:manualLayout>
      </c:layout>
      <c:scatterChart>
        <c:scatterStyle val="lineMarker"/>
        <c:varyColors val="0"/>
        <c:ser>
          <c:idx val="3"/>
          <c:order val="0"/>
          <c:tx>
            <c:v>Linux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Time'!$I$21:$I$32</c:f>
              <c:numCache>
                <c:formatCode>General</c:formatCode>
                <c:ptCount val="12"/>
                <c:pt idx="0">
                  <c:v>1</c:v>
                </c:pt>
                <c:pt idx="1">
                  <c:v>5.6566455696202535E-2</c:v>
                </c:pt>
                <c:pt idx="2">
                  <c:v>6.3612099644128117E-2</c:v>
                </c:pt>
                <c:pt idx="3">
                  <c:v>1.0106235618049312E-4</c:v>
                </c:pt>
                <c:pt idx="4">
                  <c:v>2.9170052840632782E-5</c:v>
                </c:pt>
                <c:pt idx="5">
                  <c:v>1.3641927079606846E-5</c:v>
                </c:pt>
                <c:pt idx="6">
                  <c:v>4.4162954507833214E-5</c:v>
                </c:pt>
                <c:pt idx="7">
                  <c:v>5.4210725201512258E-6</c:v>
                </c:pt>
                <c:pt idx="8">
                  <c:v>2.4448289303616983E-6</c:v>
                </c:pt>
                <c:pt idx="9">
                  <c:v>2.1058132580117799E-6</c:v>
                </c:pt>
                <c:pt idx="10">
                  <c:v>8.9696420395254869E-7</c:v>
                </c:pt>
                <c:pt idx="11">
                  <c:v>5.8176251487522004E-7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292-4344-9AEE-48438A518F04}"/>
            </c:ext>
          </c:extLst>
        </c:ser>
        <c:ser>
          <c:idx val="4"/>
          <c:order val="1"/>
          <c:tx>
            <c:v>Windows 10x10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Time'!$I$33:$I$39</c:f>
              <c:numCache>
                <c:formatCode>General</c:formatCode>
                <c:ptCount val="7"/>
                <c:pt idx="0">
                  <c:v>1</c:v>
                </c:pt>
                <c:pt idx="1">
                  <c:v>0.21260683760683763</c:v>
                </c:pt>
                <c:pt idx="2">
                  <c:v>3.0096793708408957E-2</c:v>
                </c:pt>
                <c:pt idx="3">
                  <c:v>1.3001437344832093E-2</c:v>
                </c:pt>
                <c:pt idx="4">
                  <c:v>7.6822112415071038E-3</c:v>
                </c:pt>
                <c:pt idx="5">
                  <c:v>5.8051341890315057E-3</c:v>
                </c:pt>
                <c:pt idx="6">
                  <c:v>9.8010244286840052E-3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292-4344-9AEE-48438A518F04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292-4344-9AEE-48438A518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840x840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Linux 840x840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Time'!$H$40:$H$51</c:f>
              <c:numCache>
                <c:formatCode>General</c:formatCode>
                <c:ptCount val="12"/>
                <c:pt idx="0">
                  <c:v>1</c:v>
                </c:pt>
                <c:pt idx="1">
                  <c:v>0.98087596935288202</c:v>
                </c:pt>
                <c:pt idx="2">
                  <c:v>0.99824457256070231</c:v>
                </c:pt>
                <c:pt idx="3">
                  <c:v>0.68835229413094245</c:v>
                </c:pt>
                <c:pt idx="4">
                  <c:v>0.88534264451277811</c:v>
                </c:pt>
                <c:pt idx="5">
                  <c:v>0.31019766549647243</c:v>
                </c:pt>
                <c:pt idx="6">
                  <c:v>0.3068812747505214</c:v>
                </c:pt>
                <c:pt idx="7">
                  <c:v>0.2227006007582196</c:v>
                </c:pt>
                <c:pt idx="8">
                  <c:v>0.14233636342392444</c:v>
                </c:pt>
                <c:pt idx="9">
                  <c:v>4.6424070362627551E-2</c:v>
                </c:pt>
                <c:pt idx="10">
                  <c:v>4.3365118651881855E-2</c:v>
                </c:pt>
                <c:pt idx="11">
                  <c:v>4.4146126505360442E-2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0D-4A00-997E-0055F72929B8}"/>
            </c:ext>
          </c:extLst>
        </c:ser>
        <c:ser>
          <c:idx val="4"/>
          <c:order val="1"/>
          <c:tx>
            <c:v>Windows 840x840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Time'!$H$52:$H$58</c:f>
              <c:numCache>
                <c:formatCode>General</c:formatCode>
                <c:ptCount val="7"/>
                <c:pt idx="0">
                  <c:v>1</c:v>
                </c:pt>
                <c:pt idx="1">
                  <c:v>0.93897446620664016</c:v>
                </c:pt>
                <c:pt idx="2">
                  <c:v>0.78590541381456125</c:v>
                </c:pt>
                <c:pt idx="3">
                  <c:v>0.80958982043125349</c:v>
                </c:pt>
                <c:pt idx="4">
                  <c:v>0.76167644808310619</c:v>
                </c:pt>
                <c:pt idx="5">
                  <c:v>0.7210830948421677</c:v>
                </c:pt>
                <c:pt idx="6">
                  <c:v>0.67474514072773051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0D-4A00-997E-0055F72929B8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0D-4A00-997E-0055F729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1680x1680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1680x1680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Time'!$I$59:$I$70</c:f>
              <c:numCache>
                <c:formatCode>General</c:formatCode>
                <c:ptCount val="12"/>
                <c:pt idx="0">
                  <c:v>1</c:v>
                </c:pt>
                <c:pt idx="1">
                  <c:v>0.99984463330734807</c:v>
                </c:pt>
                <c:pt idx="2">
                  <c:v>0.49855704235816883</c:v>
                </c:pt>
                <c:pt idx="3">
                  <c:v>0.10368646530339042</c:v>
                </c:pt>
                <c:pt idx="4">
                  <c:v>0.11219493445607351</c:v>
                </c:pt>
                <c:pt idx="5">
                  <c:v>3.7706125145366073E-2</c:v>
                </c:pt>
                <c:pt idx="6">
                  <c:v>2.6156598601813481E-2</c:v>
                </c:pt>
                <c:pt idx="7">
                  <c:v>1.0306267778518194E-2</c:v>
                </c:pt>
                <c:pt idx="8">
                  <c:v>6.2621877672431516E-3</c:v>
                </c:pt>
                <c:pt idx="9">
                  <c:v>1.8947856716542745E-3</c:v>
                </c:pt>
                <c:pt idx="10">
                  <c:v>1.4363648740264578E-3</c:v>
                </c:pt>
                <c:pt idx="11">
                  <c:v>8.0077196894524937E-4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AD1-4071-AD4B-84230FDE0751}"/>
            </c:ext>
          </c:extLst>
        </c:ser>
        <c:ser>
          <c:idx val="1"/>
          <c:order val="1"/>
          <c:tx>
            <c:v>Windows 1680x1680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Time'!$I$71:$I$77</c:f>
              <c:numCache>
                <c:formatCode>General</c:formatCode>
                <c:ptCount val="7"/>
                <c:pt idx="0">
                  <c:v>1</c:v>
                </c:pt>
                <c:pt idx="1">
                  <c:v>0.88535384765412894</c:v>
                </c:pt>
                <c:pt idx="2">
                  <c:v>0.3653931642851001</c:v>
                </c:pt>
                <c:pt idx="3">
                  <c:v>0.23864467978209061</c:v>
                </c:pt>
                <c:pt idx="4">
                  <c:v>0.16988155423703441</c:v>
                </c:pt>
                <c:pt idx="5">
                  <c:v>0.1307385418984906</c:v>
                </c:pt>
                <c:pt idx="6">
                  <c:v>0.10201471066689344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AD1-4071-AD4B-84230FDE0751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AD1-4071-AD4B-84230FDE0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layout>
            <c:manualLayout>
              <c:xMode val="edge"/>
              <c:yMode val="edge"/>
              <c:x val="1.8677444134751468E-2"/>
              <c:y val="0.41882857626349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3360x3360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3360x3360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Time'!$I$78:$I$89</c:f>
              <c:numCache>
                <c:formatCode>General</c:formatCode>
                <c:ptCount val="12"/>
                <c:pt idx="0">
                  <c:v>1</c:v>
                </c:pt>
                <c:pt idx="1">
                  <c:v>0.99654901186076605</c:v>
                </c:pt>
                <c:pt idx="2">
                  <c:v>0.98543159897951638</c:v>
                </c:pt>
                <c:pt idx="3">
                  <c:v>0.3684713355428228</c:v>
                </c:pt>
                <c:pt idx="4">
                  <c:v>0.45585268215571889</c:v>
                </c:pt>
                <c:pt idx="5">
                  <c:v>0.2155209609486631</c:v>
                </c:pt>
                <c:pt idx="6">
                  <c:v>0.1702707127363623</c:v>
                </c:pt>
                <c:pt idx="7">
                  <c:v>9.0960496590248817E-3</c:v>
                </c:pt>
                <c:pt idx="8">
                  <c:v>4.1466759143931348E-3</c:v>
                </c:pt>
                <c:pt idx="9">
                  <c:v>2.0522314405363802E-3</c:v>
                </c:pt>
                <c:pt idx="10">
                  <c:v>6.3901341438181946E-4</c:v>
                </c:pt>
                <c:pt idx="11">
                  <c:v>6.6694420296401619E-4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64-4074-9F20-675EFE7C42F2}"/>
            </c:ext>
          </c:extLst>
        </c:ser>
        <c:ser>
          <c:idx val="1"/>
          <c:order val="1"/>
          <c:tx>
            <c:v>Windows 3360x3360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Time'!$I$90:$I$96</c:f>
              <c:numCache>
                <c:formatCode>General</c:formatCode>
                <c:ptCount val="7"/>
                <c:pt idx="0">
                  <c:v>1</c:v>
                </c:pt>
                <c:pt idx="1">
                  <c:v>0.94041209437758422</c:v>
                </c:pt>
                <c:pt idx="2">
                  <c:v>0.68224686836460302</c:v>
                </c:pt>
                <c:pt idx="3">
                  <c:v>0.65807486898674072</c:v>
                </c:pt>
                <c:pt idx="4">
                  <c:v>0.60680636281346589</c:v>
                </c:pt>
                <c:pt idx="5">
                  <c:v>0.55663318435868636</c:v>
                </c:pt>
                <c:pt idx="6">
                  <c:v>0.47856897959710848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64-4074-9F20-675EFE7C42F2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4-4074-9F20-675EFE7C4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13440x13440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13440x13440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Time'!$I$97:$I$108</c:f>
              <c:numCache>
                <c:formatCode>General</c:formatCode>
                <c:ptCount val="12"/>
                <c:pt idx="0">
                  <c:v>1</c:v>
                </c:pt>
                <c:pt idx="1">
                  <c:v>0.99756444619022311</c:v>
                </c:pt>
                <c:pt idx="2">
                  <c:v>0.99532565641160808</c:v>
                </c:pt>
                <c:pt idx="3">
                  <c:v>0.45906153834138252</c:v>
                </c:pt>
                <c:pt idx="4">
                  <c:v>0.46622912352339241</c:v>
                </c:pt>
                <c:pt idx="5">
                  <c:v>0.29359654178347722</c:v>
                </c:pt>
                <c:pt idx="6">
                  <c:v>0.2887834756729471</c:v>
                </c:pt>
                <c:pt idx="7">
                  <c:v>0.20722359640589069</c:v>
                </c:pt>
                <c:pt idx="8">
                  <c:v>0.12550120449373128</c:v>
                </c:pt>
                <c:pt idx="9">
                  <c:v>6.6500541366207977E-2</c:v>
                </c:pt>
                <c:pt idx="10">
                  <c:v>7.9099132110241624E-2</c:v>
                </c:pt>
                <c:pt idx="11">
                  <c:v>4.0166972152507266E-2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7A-49B7-BEA7-6B2CD77DC777}"/>
            </c:ext>
          </c:extLst>
        </c:ser>
        <c:ser>
          <c:idx val="1"/>
          <c:order val="1"/>
          <c:tx>
            <c:v>Windows 13440x13440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Time'!$I$109:$I$115</c:f>
              <c:numCache>
                <c:formatCode>General</c:formatCode>
                <c:ptCount val="7"/>
                <c:pt idx="0">
                  <c:v>1</c:v>
                </c:pt>
                <c:pt idx="1">
                  <c:v>0.93262544044482731</c:v>
                </c:pt>
                <c:pt idx="2">
                  <c:v>0.69945710865242472</c:v>
                </c:pt>
                <c:pt idx="3">
                  <c:v>0.6165005335141226</c:v>
                </c:pt>
                <c:pt idx="4">
                  <c:v>0.57315526949210616</c:v>
                </c:pt>
                <c:pt idx="5">
                  <c:v>0.52945564614768181</c:v>
                </c:pt>
                <c:pt idx="6">
                  <c:v>0.44167756907735806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7A-49B7-BEA7-6B2CD77DC777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7A-49B7-BEA7-6B2CD77DC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20Kx20K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20Kx20K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Time'!$I$116:$I$127</c:f>
              <c:numCache>
                <c:formatCode>General</c:formatCode>
                <c:ptCount val="12"/>
                <c:pt idx="0">
                  <c:v>1</c:v>
                </c:pt>
                <c:pt idx="1">
                  <c:v>0.99814488127085876</c:v>
                </c:pt>
                <c:pt idx="2">
                  <c:v>0.99624812044725419</c:v>
                </c:pt>
                <c:pt idx="3">
                  <c:v>0.99691659673129307</c:v>
                </c:pt>
                <c:pt idx="4">
                  <c:v>0.99441501861107306</c:v>
                </c:pt>
                <c:pt idx="5">
                  <c:v>0.99143396170539866</c:v>
                </c:pt>
                <c:pt idx="6">
                  <c:v>0.99087686513722062</c:v>
                </c:pt>
                <c:pt idx="7">
                  <c:v>0.98926966722020515</c:v>
                </c:pt>
                <c:pt idx="8">
                  <c:v>0.98484015102390055</c:v>
                </c:pt>
                <c:pt idx="9">
                  <c:v>0.98284384903777278</c:v>
                </c:pt>
                <c:pt idx="10">
                  <c:v>0.98514403679262685</c:v>
                </c:pt>
                <c:pt idx="11">
                  <c:v>0.98228240229147923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DD-450A-AE64-EC09F93154BE}"/>
            </c:ext>
          </c:extLst>
        </c:ser>
        <c:ser>
          <c:idx val="1"/>
          <c:order val="1"/>
          <c:tx>
            <c:v>Windows 20Kx20K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Time'!$I$128:$I$134</c:f>
              <c:numCache>
                <c:formatCode>General</c:formatCode>
                <c:ptCount val="7"/>
                <c:pt idx="0">
                  <c:v>1</c:v>
                </c:pt>
                <c:pt idx="1">
                  <c:v>0.9472980047936107</c:v>
                </c:pt>
                <c:pt idx="2">
                  <c:v>0.72660128045650318</c:v>
                </c:pt>
                <c:pt idx="3">
                  <c:v>0.66059890031419355</c:v>
                </c:pt>
                <c:pt idx="4">
                  <c:v>0.60934001918612435</c:v>
                </c:pt>
                <c:pt idx="5">
                  <c:v>0.57706889753863133</c:v>
                </c:pt>
                <c:pt idx="6">
                  <c:v>0.49049005627738529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DD-450A-AE64-EC09F93154BE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DD-450A-AE64-EC09F9315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50Kx50K 20GEN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50Kx50K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Time'!$I$135:$I$146</c:f>
              <c:numCache>
                <c:formatCode>General</c:formatCode>
                <c:ptCount val="12"/>
                <c:pt idx="0">
                  <c:v>1</c:v>
                </c:pt>
                <c:pt idx="1">
                  <c:v>0.99944317456377119</c:v>
                </c:pt>
                <c:pt idx="2">
                  <c:v>0.99813285421281028</c:v>
                </c:pt>
                <c:pt idx="3">
                  <c:v>0.99846230909790246</c:v>
                </c:pt>
                <c:pt idx="4">
                  <c:v>0.99775084449779505</c:v>
                </c:pt>
                <c:pt idx="5">
                  <c:v>0.99676012420954696</c:v>
                </c:pt>
                <c:pt idx="6">
                  <c:v>0.99507500392366433</c:v>
                </c:pt>
                <c:pt idx="7">
                  <c:v>0.9942673044763769</c:v>
                </c:pt>
                <c:pt idx="8">
                  <c:v>0.99436825673670659</c:v>
                </c:pt>
                <c:pt idx="9">
                  <c:v>0.99303666633845866</c:v>
                </c:pt>
                <c:pt idx="10">
                  <c:v>0.99326566288921936</c:v>
                </c:pt>
                <c:pt idx="11">
                  <c:v>0.99114727756458465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2B-4465-862F-1AFA942EEA4E}"/>
            </c:ext>
          </c:extLst>
        </c:ser>
        <c:ser>
          <c:idx val="1"/>
          <c:order val="1"/>
          <c:tx>
            <c:v>Windows 50Kx50K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Time'!$I$147:$I$155</c:f>
              <c:numCache>
                <c:formatCode>General</c:formatCode>
                <c:ptCount val="9"/>
                <c:pt idx="0">
                  <c:v>1</c:v>
                </c:pt>
                <c:pt idx="1">
                  <c:v>1.3342843672428888</c:v>
                </c:pt>
                <c:pt idx="2">
                  <c:v>1.2749982143979377</c:v>
                </c:pt>
                <c:pt idx="3">
                  <c:v>1.111125387497683</c:v>
                </c:pt>
                <c:pt idx="4">
                  <c:v>0.99348249233467512</c:v>
                </c:pt>
                <c:pt idx="5">
                  <c:v>0.96664497809397376</c:v>
                </c:pt>
                <c:pt idx="6">
                  <c:v>0.86385795894476647</c:v>
                </c:pt>
                <c:pt idx="7">
                  <c:v>3.1420481759501531E-2</c:v>
                </c:pt>
                <c:pt idx="8">
                  <c:v>3.121294685564668E-2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2B-4465-862F-1AFA942EEA4E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2B-4465-862F-1AFA942E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Linux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Linux 6x6</c:v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Time'!$I$2:$I$13</c:f>
              <c:numCache>
                <c:formatCode>General</c:formatCode>
                <c:ptCount val="12"/>
                <c:pt idx="0">
                  <c:v>1</c:v>
                </c:pt>
                <c:pt idx="1">
                  <c:v>5.0160513643659713E-2</c:v>
                </c:pt>
                <c:pt idx="2">
                  <c:v>5.7444852941176475E-2</c:v>
                </c:pt>
                <c:pt idx="3">
                  <c:v>2.1765756579439959E-5</c:v>
                </c:pt>
                <c:pt idx="4">
                  <c:v>2.4267735637771625E-5</c:v>
                </c:pt>
                <c:pt idx="5">
                  <c:v>1.982088264768936E-5</c:v>
                </c:pt>
                <c:pt idx="6">
                  <c:v>2.0988945374338681E-5</c:v>
                </c:pt>
                <c:pt idx="7">
                  <c:v>2.5140391993818924E-6</c:v>
                </c:pt>
                <c:pt idx="8">
                  <c:v>1.7087525586860816E-6</c:v>
                </c:pt>
                <c:pt idx="9">
                  <c:v>1.4813782458775021E-6</c:v>
                </c:pt>
                <c:pt idx="10">
                  <c:v>8.9585107715700153E-7</c:v>
                </c:pt>
                <c:pt idx="11">
                  <c:v>5.4002644937223523E-7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6A-4760-8024-F3A0A7F60DD9}"/>
            </c:ext>
          </c:extLst>
        </c:ser>
        <c:ser>
          <c:idx val="3"/>
          <c:order val="1"/>
          <c:tx>
            <c:v>Linux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Time'!$I$21:$I$32</c:f>
              <c:numCache>
                <c:formatCode>General</c:formatCode>
                <c:ptCount val="12"/>
                <c:pt idx="0">
                  <c:v>1</c:v>
                </c:pt>
                <c:pt idx="1">
                  <c:v>5.6566455696202535E-2</c:v>
                </c:pt>
                <c:pt idx="2">
                  <c:v>6.3612099644128117E-2</c:v>
                </c:pt>
                <c:pt idx="3">
                  <c:v>1.0106235618049312E-4</c:v>
                </c:pt>
                <c:pt idx="4">
                  <c:v>2.9170052840632782E-5</c:v>
                </c:pt>
                <c:pt idx="5">
                  <c:v>1.3641927079606846E-5</c:v>
                </c:pt>
                <c:pt idx="6">
                  <c:v>4.4162954507833214E-5</c:v>
                </c:pt>
                <c:pt idx="7">
                  <c:v>5.4210725201512258E-6</c:v>
                </c:pt>
                <c:pt idx="8">
                  <c:v>2.4448289303616983E-6</c:v>
                </c:pt>
                <c:pt idx="9">
                  <c:v>2.1058132580117799E-6</c:v>
                </c:pt>
                <c:pt idx="10">
                  <c:v>8.9696420395254869E-7</c:v>
                </c:pt>
                <c:pt idx="11">
                  <c:v>5.8176251487522004E-7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6A-4760-8024-F3A0A7F60DD9}"/>
            </c:ext>
          </c:extLst>
        </c:ser>
        <c:ser>
          <c:idx val="4"/>
          <c:order val="2"/>
          <c:tx>
            <c:v>Linux 840x840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Time'!$I$40:$I$51</c:f>
              <c:numCache>
                <c:formatCode>General</c:formatCode>
                <c:ptCount val="12"/>
                <c:pt idx="0">
                  <c:v>1</c:v>
                </c:pt>
                <c:pt idx="1">
                  <c:v>0.49043798467644101</c:v>
                </c:pt>
                <c:pt idx="2">
                  <c:v>0.24956114314017558</c:v>
                </c:pt>
                <c:pt idx="3">
                  <c:v>0.11472538235515707</c:v>
                </c:pt>
                <c:pt idx="4">
                  <c:v>0.11066783056409726</c:v>
                </c:pt>
                <c:pt idx="5">
                  <c:v>3.1019766549647242E-2</c:v>
                </c:pt>
                <c:pt idx="6">
                  <c:v>2.5573439562543449E-2</c:v>
                </c:pt>
                <c:pt idx="7">
                  <c:v>1.3918787547388725E-2</c:v>
                </c:pt>
                <c:pt idx="8">
                  <c:v>7.1168181711962226E-3</c:v>
                </c:pt>
                <c:pt idx="9">
                  <c:v>1.9343362651094813E-3</c:v>
                </c:pt>
                <c:pt idx="10">
                  <c:v>1.548754237567209E-3</c:v>
                </c:pt>
                <c:pt idx="11">
                  <c:v>1.3795664532925138E-3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6A-4760-8024-F3A0A7F60DD9}"/>
            </c:ext>
          </c:extLst>
        </c:ser>
        <c:ser>
          <c:idx val="5"/>
          <c:order val="3"/>
          <c:tx>
            <c:v>Linux 1680x1680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Time'!$I$59:$I$70</c:f>
              <c:numCache>
                <c:formatCode>General</c:formatCode>
                <c:ptCount val="12"/>
                <c:pt idx="0">
                  <c:v>1</c:v>
                </c:pt>
                <c:pt idx="1">
                  <c:v>0.99984463330734807</c:v>
                </c:pt>
                <c:pt idx="2">
                  <c:v>0.49855704235816883</c:v>
                </c:pt>
                <c:pt idx="3">
                  <c:v>0.10368646530339042</c:v>
                </c:pt>
                <c:pt idx="4">
                  <c:v>0.11219493445607351</c:v>
                </c:pt>
                <c:pt idx="5">
                  <c:v>3.7706125145366073E-2</c:v>
                </c:pt>
                <c:pt idx="6">
                  <c:v>2.6156598601813481E-2</c:v>
                </c:pt>
                <c:pt idx="7">
                  <c:v>1.0306267778518194E-2</c:v>
                </c:pt>
                <c:pt idx="8">
                  <c:v>6.2621877672431516E-3</c:v>
                </c:pt>
                <c:pt idx="9">
                  <c:v>1.8947856716542745E-3</c:v>
                </c:pt>
                <c:pt idx="10">
                  <c:v>1.4363648740264578E-3</c:v>
                </c:pt>
                <c:pt idx="11">
                  <c:v>8.0077196894524937E-4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6A-4760-8024-F3A0A7F60DD9}"/>
            </c:ext>
          </c:extLst>
        </c:ser>
        <c:ser>
          <c:idx val="6"/>
          <c:order val="4"/>
          <c:tx>
            <c:v>Linux 3360x3360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Time'!$I$78:$I$89</c:f>
              <c:numCache>
                <c:formatCode>General</c:formatCode>
                <c:ptCount val="12"/>
                <c:pt idx="0">
                  <c:v>1</c:v>
                </c:pt>
                <c:pt idx="1">
                  <c:v>0.99654901186076605</c:v>
                </c:pt>
                <c:pt idx="2">
                  <c:v>0.98543159897951638</c:v>
                </c:pt>
                <c:pt idx="3">
                  <c:v>0.3684713355428228</c:v>
                </c:pt>
                <c:pt idx="4">
                  <c:v>0.45585268215571889</c:v>
                </c:pt>
                <c:pt idx="5">
                  <c:v>0.2155209609486631</c:v>
                </c:pt>
                <c:pt idx="6">
                  <c:v>0.1702707127363623</c:v>
                </c:pt>
                <c:pt idx="7">
                  <c:v>9.0960496590248817E-3</c:v>
                </c:pt>
                <c:pt idx="8">
                  <c:v>4.1466759143931348E-3</c:v>
                </c:pt>
                <c:pt idx="9">
                  <c:v>2.0522314405363802E-3</c:v>
                </c:pt>
                <c:pt idx="10">
                  <c:v>6.3901341438181946E-4</c:v>
                </c:pt>
                <c:pt idx="11">
                  <c:v>6.6694420296401619E-4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6A-4760-8024-F3A0A7F60DD9}"/>
            </c:ext>
          </c:extLst>
        </c:ser>
        <c:ser>
          <c:idx val="7"/>
          <c:order val="5"/>
          <c:tx>
            <c:v>Linux 13440x13440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Time'!$I$97:$I$108</c:f>
              <c:numCache>
                <c:formatCode>General</c:formatCode>
                <c:ptCount val="12"/>
                <c:pt idx="0">
                  <c:v>1</c:v>
                </c:pt>
                <c:pt idx="1">
                  <c:v>0.99756444619022311</c:v>
                </c:pt>
                <c:pt idx="2">
                  <c:v>0.99532565641160808</c:v>
                </c:pt>
                <c:pt idx="3">
                  <c:v>0.45906153834138252</c:v>
                </c:pt>
                <c:pt idx="4">
                  <c:v>0.46622912352339241</c:v>
                </c:pt>
                <c:pt idx="5">
                  <c:v>0.29359654178347722</c:v>
                </c:pt>
                <c:pt idx="6">
                  <c:v>0.2887834756729471</c:v>
                </c:pt>
                <c:pt idx="7">
                  <c:v>0.20722359640589069</c:v>
                </c:pt>
                <c:pt idx="8">
                  <c:v>0.12550120449373128</c:v>
                </c:pt>
                <c:pt idx="9">
                  <c:v>6.6500541366207977E-2</c:v>
                </c:pt>
                <c:pt idx="10">
                  <c:v>7.9099132110241624E-2</c:v>
                </c:pt>
                <c:pt idx="11">
                  <c:v>4.0166972152507266E-2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6A-4760-8024-F3A0A7F60DD9}"/>
            </c:ext>
          </c:extLst>
        </c:ser>
        <c:ser>
          <c:idx val="8"/>
          <c:order val="6"/>
          <c:tx>
            <c:v>Linux 20Kx20K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Time'!$I$116:$I$127</c:f>
              <c:numCache>
                <c:formatCode>General</c:formatCode>
                <c:ptCount val="12"/>
                <c:pt idx="0">
                  <c:v>1</c:v>
                </c:pt>
                <c:pt idx="1">
                  <c:v>0.99814488127085876</c:v>
                </c:pt>
                <c:pt idx="2">
                  <c:v>0.99624812044725419</c:v>
                </c:pt>
                <c:pt idx="3">
                  <c:v>0.99691659673129307</c:v>
                </c:pt>
                <c:pt idx="4">
                  <c:v>0.99441501861107306</c:v>
                </c:pt>
                <c:pt idx="5">
                  <c:v>0.99143396170539866</c:v>
                </c:pt>
                <c:pt idx="6">
                  <c:v>0.99087686513722062</c:v>
                </c:pt>
                <c:pt idx="7">
                  <c:v>0.98926966722020515</c:v>
                </c:pt>
                <c:pt idx="8">
                  <c:v>0.98484015102390055</c:v>
                </c:pt>
                <c:pt idx="9">
                  <c:v>0.98284384903777278</c:v>
                </c:pt>
                <c:pt idx="10">
                  <c:v>0.98514403679262685</c:v>
                </c:pt>
                <c:pt idx="11">
                  <c:v>0.98228240229147923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6A-4760-8024-F3A0A7F60DD9}"/>
            </c:ext>
          </c:extLst>
        </c:ser>
        <c:ser>
          <c:idx val="9"/>
          <c:order val="7"/>
          <c:tx>
            <c:v>Linux 50Kx50K 20GEN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Time'!$I$135:$I$146</c:f>
              <c:numCache>
                <c:formatCode>General</c:formatCode>
                <c:ptCount val="12"/>
                <c:pt idx="0">
                  <c:v>1</c:v>
                </c:pt>
                <c:pt idx="1">
                  <c:v>0.99944317456377119</c:v>
                </c:pt>
                <c:pt idx="2">
                  <c:v>0.99813285421281028</c:v>
                </c:pt>
                <c:pt idx="3">
                  <c:v>0.99846230909790246</c:v>
                </c:pt>
                <c:pt idx="4">
                  <c:v>0.99775084449779505</c:v>
                </c:pt>
                <c:pt idx="5">
                  <c:v>0.99676012420954696</c:v>
                </c:pt>
                <c:pt idx="6">
                  <c:v>0.99507500392366433</c:v>
                </c:pt>
                <c:pt idx="7">
                  <c:v>0.9942673044763769</c:v>
                </c:pt>
                <c:pt idx="8">
                  <c:v>0.99436825673670659</c:v>
                </c:pt>
                <c:pt idx="9">
                  <c:v>0.99303666633845866</c:v>
                </c:pt>
                <c:pt idx="10">
                  <c:v>0.99326566288921936</c:v>
                </c:pt>
                <c:pt idx="11">
                  <c:v>0.99114727756458465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6A-4760-8024-F3A0A7F60DD9}"/>
            </c:ext>
          </c:extLst>
        </c:ser>
        <c:ser>
          <c:idx val="2"/>
          <c:order val="8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6A-4760-8024-F3A0A7F60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Windows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Windows 6x6</c:v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Time'!$I$14:$I$20</c:f>
              <c:numCache>
                <c:formatCode>General</c:formatCode>
                <c:ptCount val="7"/>
                <c:pt idx="0">
                  <c:v>1</c:v>
                </c:pt>
                <c:pt idx="1">
                  <c:v>0.16463414634146342</c:v>
                </c:pt>
                <c:pt idx="2">
                  <c:v>5.4372842347525895E-2</c:v>
                </c:pt>
                <c:pt idx="3">
                  <c:v>1.2711864406779662E-2</c:v>
                </c:pt>
                <c:pt idx="4">
                  <c:v>1.0187580853816301E-2</c:v>
                </c:pt>
                <c:pt idx="5">
                  <c:v>1.5829145728643218E-2</c:v>
                </c:pt>
                <c:pt idx="6">
                  <c:v>6.5190397350993372E-3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FE-45F9-BE7B-CD49B44A99F8}"/>
            </c:ext>
          </c:extLst>
        </c:ser>
        <c:ser>
          <c:idx val="3"/>
          <c:order val="1"/>
          <c:tx>
            <c:v>Windows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Time'!$I$33:$I$39</c:f>
              <c:numCache>
                <c:formatCode>General</c:formatCode>
                <c:ptCount val="7"/>
                <c:pt idx="0">
                  <c:v>1</c:v>
                </c:pt>
                <c:pt idx="1">
                  <c:v>0.21260683760683763</c:v>
                </c:pt>
                <c:pt idx="2">
                  <c:v>3.0096793708408957E-2</c:v>
                </c:pt>
                <c:pt idx="3">
                  <c:v>1.3001437344832093E-2</c:v>
                </c:pt>
                <c:pt idx="4">
                  <c:v>7.6822112415071038E-3</c:v>
                </c:pt>
                <c:pt idx="5">
                  <c:v>5.8051341890315057E-3</c:v>
                </c:pt>
                <c:pt idx="6">
                  <c:v>9.8010244286840052E-3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FE-45F9-BE7B-CD49B44A99F8}"/>
            </c:ext>
          </c:extLst>
        </c:ser>
        <c:ser>
          <c:idx val="4"/>
          <c:order val="2"/>
          <c:tx>
            <c:v>Windows 840x840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Time'!$I$52:$I$58</c:f>
              <c:numCache>
                <c:formatCode>General</c:formatCode>
                <c:ptCount val="7"/>
                <c:pt idx="0">
                  <c:v>1</c:v>
                </c:pt>
                <c:pt idx="1">
                  <c:v>0.46948723310332008</c:v>
                </c:pt>
                <c:pt idx="2">
                  <c:v>0.19647635345364031</c:v>
                </c:pt>
                <c:pt idx="3">
                  <c:v>0.13493163673854225</c:v>
                </c:pt>
                <c:pt idx="4">
                  <c:v>9.5209556010388274E-2</c:v>
                </c:pt>
                <c:pt idx="5">
                  <c:v>7.2108309484216773E-2</c:v>
                </c:pt>
                <c:pt idx="6">
                  <c:v>5.6228761727310873E-2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FE-45F9-BE7B-CD49B44A99F8}"/>
            </c:ext>
          </c:extLst>
        </c:ser>
        <c:ser>
          <c:idx val="5"/>
          <c:order val="3"/>
          <c:tx>
            <c:v>Windows 1680x1680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Time'!$I$71:$I$77</c:f>
              <c:numCache>
                <c:formatCode>General</c:formatCode>
                <c:ptCount val="7"/>
                <c:pt idx="0">
                  <c:v>1</c:v>
                </c:pt>
                <c:pt idx="1">
                  <c:v>0.88535384765412894</c:v>
                </c:pt>
                <c:pt idx="2">
                  <c:v>0.3653931642851001</c:v>
                </c:pt>
                <c:pt idx="3">
                  <c:v>0.23864467978209061</c:v>
                </c:pt>
                <c:pt idx="4">
                  <c:v>0.16988155423703441</c:v>
                </c:pt>
                <c:pt idx="5">
                  <c:v>0.1307385418984906</c:v>
                </c:pt>
                <c:pt idx="6">
                  <c:v>0.10201471066689344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FE-45F9-BE7B-CD49B44A99F8}"/>
            </c:ext>
          </c:extLst>
        </c:ser>
        <c:ser>
          <c:idx val="6"/>
          <c:order val="4"/>
          <c:tx>
            <c:v>Windows 3360x3360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Time'!$I$90:$I$96</c:f>
              <c:numCache>
                <c:formatCode>General</c:formatCode>
                <c:ptCount val="7"/>
                <c:pt idx="0">
                  <c:v>1</c:v>
                </c:pt>
                <c:pt idx="1">
                  <c:v>0.94041209437758422</c:v>
                </c:pt>
                <c:pt idx="2">
                  <c:v>0.68224686836460302</c:v>
                </c:pt>
                <c:pt idx="3">
                  <c:v>0.65807486898674072</c:v>
                </c:pt>
                <c:pt idx="4">
                  <c:v>0.60680636281346589</c:v>
                </c:pt>
                <c:pt idx="5">
                  <c:v>0.55663318435868636</c:v>
                </c:pt>
                <c:pt idx="6">
                  <c:v>0.47856897959710848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FE-45F9-BE7B-CD49B44A99F8}"/>
            </c:ext>
          </c:extLst>
        </c:ser>
        <c:ser>
          <c:idx val="7"/>
          <c:order val="5"/>
          <c:tx>
            <c:v>Windows 13440x13440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Time'!$I$109:$I$115</c:f>
              <c:numCache>
                <c:formatCode>General</c:formatCode>
                <c:ptCount val="7"/>
                <c:pt idx="0">
                  <c:v>1</c:v>
                </c:pt>
                <c:pt idx="1">
                  <c:v>0.93262544044482731</c:v>
                </c:pt>
                <c:pt idx="2">
                  <c:v>0.69945710865242472</c:v>
                </c:pt>
                <c:pt idx="3">
                  <c:v>0.6165005335141226</c:v>
                </c:pt>
                <c:pt idx="4">
                  <c:v>0.57315526949210616</c:v>
                </c:pt>
                <c:pt idx="5">
                  <c:v>0.52945564614768181</c:v>
                </c:pt>
                <c:pt idx="6">
                  <c:v>0.44167756907735806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FE-45F9-BE7B-CD49B44A99F8}"/>
            </c:ext>
          </c:extLst>
        </c:ser>
        <c:ser>
          <c:idx val="8"/>
          <c:order val="6"/>
          <c:tx>
            <c:v>Windows 20Kx20K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Time'!$I$128:$I$134</c:f>
              <c:numCache>
                <c:formatCode>General</c:formatCode>
                <c:ptCount val="7"/>
                <c:pt idx="0">
                  <c:v>1</c:v>
                </c:pt>
                <c:pt idx="1">
                  <c:v>0.9472980047936107</c:v>
                </c:pt>
                <c:pt idx="2">
                  <c:v>0.72660128045650318</c:v>
                </c:pt>
                <c:pt idx="3">
                  <c:v>0.66059890031419355</c:v>
                </c:pt>
                <c:pt idx="4">
                  <c:v>0.60934001918612435</c:v>
                </c:pt>
                <c:pt idx="5">
                  <c:v>0.57706889753863133</c:v>
                </c:pt>
                <c:pt idx="6">
                  <c:v>0.49049005627738529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FE-45F9-BE7B-CD49B44A99F8}"/>
            </c:ext>
          </c:extLst>
        </c:ser>
        <c:ser>
          <c:idx val="9"/>
          <c:order val="7"/>
          <c:tx>
            <c:v>Windows 50Kx50K 20GEN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Time'!$I$147:$I$153</c:f>
              <c:numCache>
                <c:formatCode>General</c:formatCode>
                <c:ptCount val="7"/>
                <c:pt idx="0">
                  <c:v>1</c:v>
                </c:pt>
                <c:pt idx="1">
                  <c:v>1.3342843672428888</c:v>
                </c:pt>
                <c:pt idx="2">
                  <c:v>1.2749982143979377</c:v>
                </c:pt>
                <c:pt idx="3">
                  <c:v>1.111125387497683</c:v>
                </c:pt>
                <c:pt idx="4">
                  <c:v>0.99348249233467512</c:v>
                </c:pt>
                <c:pt idx="5">
                  <c:v>0.96664497809397376</c:v>
                </c:pt>
                <c:pt idx="6">
                  <c:v>0.86385795894476647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3FE-45F9-BE7B-CD49B44A99F8}"/>
            </c:ext>
          </c:extLst>
        </c:ser>
        <c:ser>
          <c:idx val="2"/>
          <c:order val="8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FE-45F9-BE7B-CD49B44A9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u="none"/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/>
              <a:t>Time</a:t>
            </a:r>
            <a:r>
              <a:rPr lang="it-IT" baseline="0"/>
              <a:t> Matrix 100Kx100K 5GEN - Linux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6.045357795929189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Linux 100Kx100K</c:v>
          </c:tx>
          <c:spPr>
            <a:solidFill>
              <a:srgbClr val="0099CC">
                <a:alpha val="12941"/>
              </a:srgb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cat>
            <c:numRef>
              <c:f>'Standard Time'!$C$160:$C$162</c:f>
              <c:numCache>
                <c:formatCode>General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32</c:v>
                </c:pt>
              </c:numCache>
            </c:numRef>
          </c:cat>
          <c:val>
            <c:numRef>
              <c:f>'Standard Time'!$E$160:$E$162</c:f>
              <c:numCache>
                <c:formatCode>General</c:formatCode>
                <c:ptCount val="3"/>
                <c:pt idx="0">
                  <c:v>24.105806000000001</c:v>
                </c:pt>
                <c:pt idx="1">
                  <c:v>12.112871999999999</c:v>
                </c:pt>
                <c:pt idx="2">
                  <c:v>9.0893510000000006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9-4F9E-87C9-C16724DA3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areaChart>
      <c:catAx>
        <c:axId val="193802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auto val="1"/>
        <c:lblAlgn val="ctr"/>
        <c:lblOffset val="100"/>
        <c:noMultiLvlLbl val="0"/>
      </c:cat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/>
              <a:t>Time</a:t>
            </a:r>
            <a:r>
              <a:rPr lang="it-IT" baseline="0"/>
              <a:t> Matrix 100Kx50K 5GEN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6.045357795929189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100Kx50K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Time'!$C$154:$C$156</c:f>
              <c:numCache>
                <c:formatCode>General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32</c:v>
                </c:pt>
              </c:numCache>
            </c:numRef>
          </c:xVal>
          <c:yVal>
            <c:numRef>
              <c:f>'Standard Time'!$E$154:$E$156</c:f>
              <c:numCache>
                <c:formatCode>General</c:formatCode>
                <c:ptCount val="3"/>
                <c:pt idx="0">
                  <c:v>12.085725999999999</c:v>
                </c:pt>
                <c:pt idx="1">
                  <c:v>6.0830419999999998</c:v>
                </c:pt>
                <c:pt idx="2">
                  <c:v>4.5568720000000003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4-4D54-871A-B00FCCB70CCA}"/>
            </c:ext>
          </c:extLst>
        </c:ser>
        <c:ser>
          <c:idx val="1"/>
          <c:order val="1"/>
          <c:tx>
            <c:v>Windows 100Kx50K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Time'!$C$157:$C$159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12</c:v>
                </c:pt>
              </c:numCache>
            </c:numRef>
          </c:xVal>
          <c:yVal>
            <c:numRef>
              <c:f>'Standard Time'!$E$157:$E$159</c:f>
              <c:numCache>
                <c:formatCode>General</c:formatCode>
                <c:ptCount val="3"/>
                <c:pt idx="0">
                  <c:v>455.71579100000002</c:v>
                </c:pt>
                <c:pt idx="1">
                  <c:v>354.57361800000001</c:v>
                </c:pt>
                <c:pt idx="2">
                  <c:v>386.86330199999998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4-4D54-871A-B00FCCB7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2"/>
      </c:valAx>
      <c:valAx>
        <c:axId val="19380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Time - Linux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1"/>
          <c:order val="0"/>
          <c:tx>
            <c:v>Linux 6x6</c:v>
          </c:tx>
          <c:spPr>
            <a:ln w="1905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Time'!$E$2:$E$13</c:f>
              <c:numCache>
                <c:formatCode>General</c:formatCode>
                <c:ptCount val="12"/>
                <c:pt idx="0">
                  <c:v>1.25E-4</c:v>
                </c:pt>
                <c:pt idx="1">
                  <c:v>1.2459999999999999E-3</c:v>
                </c:pt>
                <c:pt idx="2">
                  <c:v>5.44E-4</c:v>
                </c:pt>
                <c:pt idx="3">
                  <c:v>0.95716100000000004</c:v>
                </c:pt>
                <c:pt idx="4">
                  <c:v>0.64385899999999996</c:v>
                </c:pt>
                <c:pt idx="5">
                  <c:v>0.63064799999999999</c:v>
                </c:pt>
                <c:pt idx="6">
                  <c:v>0.49629299999999998</c:v>
                </c:pt>
                <c:pt idx="7">
                  <c:v>3.1075490000000001</c:v>
                </c:pt>
                <c:pt idx="8">
                  <c:v>3.6576390000000001</c:v>
                </c:pt>
                <c:pt idx="9">
                  <c:v>3.5158700000000001</c:v>
                </c:pt>
                <c:pt idx="10">
                  <c:v>4.9832900000000002</c:v>
                </c:pt>
                <c:pt idx="11">
                  <c:v>7.2334420000000001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F-4FC5-84D5-F67040666BDF}"/>
            </c:ext>
          </c:extLst>
        </c:ser>
        <c:ser>
          <c:idx val="3"/>
          <c:order val="1"/>
          <c:tx>
            <c:v>Linux 10x10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Time'!$E$21:$E$32</c:f>
              <c:numCache>
                <c:formatCode>General</c:formatCode>
                <c:ptCount val="12"/>
                <c:pt idx="0">
                  <c:v>1.4300000000000001E-4</c:v>
                </c:pt>
                <c:pt idx="1">
                  <c:v>1.2639999999999999E-3</c:v>
                </c:pt>
                <c:pt idx="2">
                  <c:v>5.62E-4</c:v>
                </c:pt>
                <c:pt idx="3">
                  <c:v>0.23582800000000001</c:v>
                </c:pt>
                <c:pt idx="4">
                  <c:v>0.61278600000000005</c:v>
                </c:pt>
                <c:pt idx="5">
                  <c:v>1.0482389999999999</c:v>
                </c:pt>
                <c:pt idx="6">
                  <c:v>0.26983400000000002</c:v>
                </c:pt>
                <c:pt idx="7">
                  <c:v>1.6486590000000001</c:v>
                </c:pt>
                <c:pt idx="8">
                  <c:v>2.9245399999999999</c:v>
                </c:pt>
                <c:pt idx="9">
                  <c:v>2.829469</c:v>
                </c:pt>
                <c:pt idx="10">
                  <c:v>5.6938089999999999</c:v>
                </c:pt>
                <c:pt idx="11">
                  <c:v>7.6813989999999999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AF-4FC5-84D5-F67040666BDF}"/>
            </c:ext>
          </c:extLst>
        </c:ser>
        <c:ser>
          <c:idx val="4"/>
          <c:order val="2"/>
          <c:tx>
            <c:v>Linux 840x840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Time'!$E$40:$E$51</c:f>
              <c:numCache>
                <c:formatCode>General</c:formatCode>
                <c:ptCount val="12"/>
                <c:pt idx="0">
                  <c:v>0.27409499999999998</c:v>
                </c:pt>
                <c:pt idx="1">
                  <c:v>0.27943899999999999</c:v>
                </c:pt>
                <c:pt idx="2">
                  <c:v>0.27457700000000002</c:v>
                </c:pt>
                <c:pt idx="3">
                  <c:v>0.39818999999999999</c:v>
                </c:pt>
                <c:pt idx="4">
                  <c:v>0.30959199999999998</c:v>
                </c:pt>
                <c:pt idx="5">
                  <c:v>0.88361400000000001</c:v>
                </c:pt>
                <c:pt idx="6">
                  <c:v>0.89316300000000004</c:v>
                </c:pt>
                <c:pt idx="7">
                  <c:v>1.2307779999999999</c:v>
                </c:pt>
                <c:pt idx="8">
                  <c:v>1.9256850000000001</c:v>
                </c:pt>
                <c:pt idx="9">
                  <c:v>5.9041569999999997</c:v>
                </c:pt>
                <c:pt idx="10">
                  <c:v>6.3206329999999999</c:v>
                </c:pt>
                <c:pt idx="11">
                  <c:v>6.208812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AF-4FC5-84D5-F67040666BDF}"/>
            </c:ext>
          </c:extLst>
        </c:ser>
        <c:ser>
          <c:idx val="5"/>
          <c:order val="3"/>
          <c:tx>
            <c:v>Linux 1680x1680</c:v>
          </c:tx>
          <c:spPr>
            <a:ln w="19050" cap="rnd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 w="9525">
                <a:solidFill>
                  <a:schemeClr val="accent3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Time'!$E$59:$E$70</c:f>
              <c:numCache>
                <c:formatCode>General</c:formatCode>
                <c:ptCount val="12"/>
                <c:pt idx="0">
                  <c:v>1.1004510000000001</c:v>
                </c:pt>
                <c:pt idx="1">
                  <c:v>0.55031099999999999</c:v>
                </c:pt>
                <c:pt idx="2">
                  <c:v>0.55181800000000003</c:v>
                </c:pt>
                <c:pt idx="3">
                  <c:v>1.7688759999999999</c:v>
                </c:pt>
                <c:pt idx="4">
                  <c:v>1.226048</c:v>
                </c:pt>
                <c:pt idx="5">
                  <c:v>2.9184939999999999</c:v>
                </c:pt>
                <c:pt idx="6">
                  <c:v>3.50597</c:v>
                </c:pt>
                <c:pt idx="7">
                  <c:v>6.6734330000000002</c:v>
                </c:pt>
                <c:pt idx="8">
                  <c:v>8.7864740000000001</c:v>
                </c:pt>
                <c:pt idx="9">
                  <c:v>24.199109</c:v>
                </c:pt>
                <c:pt idx="10">
                  <c:v>27.362003999999999</c:v>
                </c:pt>
                <c:pt idx="11">
                  <c:v>42.944927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AF-4FC5-84D5-F67040666BDF}"/>
            </c:ext>
          </c:extLst>
        </c:ser>
        <c:ser>
          <c:idx val="7"/>
          <c:order val="4"/>
          <c:tx>
            <c:v>Linux 13440x13440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Time'!$E$97:$E$108</c:f>
              <c:numCache>
                <c:formatCode>General</c:formatCode>
                <c:ptCount val="12"/>
                <c:pt idx="0">
                  <c:v>72.531633999999997</c:v>
                </c:pt>
                <c:pt idx="1">
                  <c:v>36.35436</c:v>
                </c:pt>
                <c:pt idx="2">
                  <c:v>18.218066</c:v>
                </c:pt>
                <c:pt idx="3">
                  <c:v>26.333300999999999</c:v>
                </c:pt>
                <c:pt idx="4">
                  <c:v>19.446349000000001</c:v>
                </c:pt>
                <c:pt idx="5">
                  <c:v>24.704526000000001</c:v>
                </c:pt>
                <c:pt idx="6">
                  <c:v>20.930223999999999</c:v>
                </c:pt>
                <c:pt idx="7">
                  <c:v>21.876017999999998</c:v>
                </c:pt>
                <c:pt idx="8">
                  <c:v>28.896788000000001</c:v>
                </c:pt>
                <c:pt idx="9">
                  <c:v>45.445515999999998</c:v>
                </c:pt>
                <c:pt idx="10">
                  <c:v>32.748975000000002</c:v>
                </c:pt>
                <c:pt idx="11">
                  <c:v>56.429783999999998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AF-4FC5-84D5-F67040666BDF}"/>
            </c:ext>
          </c:extLst>
        </c:ser>
        <c:ser>
          <c:idx val="8"/>
          <c:order val="5"/>
          <c:tx>
            <c:v>Linux 20Kx20K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Time'!$E$116:$E$127</c:f>
              <c:numCache>
                <c:formatCode>General</c:formatCode>
                <c:ptCount val="12"/>
                <c:pt idx="0">
                  <c:v>154.002015</c:v>
                </c:pt>
                <c:pt idx="1">
                  <c:v>77.144119000000003</c:v>
                </c:pt>
                <c:pt idx="2">
                  <c:v>38.645496999999999</c:v>
                </c:pt>
                <c:pt idx="3">
                  <c:v>25.746389000000001</c:v>
                </c:pt>
                <c:pt idx="4">
                  <c:v>19.358367999999999</c:v>
                </c:pt>
                <c:pt idx="5">
                  <c:v>15.53326</c:v>
                </c:pt>
                <c:pt idx="6">
                  <c:v>12.951661</c:v>
                </c:pt>
                <c:pt idx="7">
                  <c:v>9.7295269999999991</c:v>
                </c:pt>
                <c:pt idx="8">
                  <c:v>7.8186299999999997</c:v>
                </c:pt>
                <c:pt idx="9">
                  <c:v>6.528759</c:v>
                </c:pt>
                <c:pt idx="10">
                  <c:v>5.5830130000000002</c:v>
                </c:pt>
                <c:pt idx="11">
                  <c:v>4.8993679999999999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AF-4FC5-84D5-F67040666BDF}"/>
            </c:ext>
          </c:extLst>
        </c:ser>
        <c:ser>
          <c:idx val="9"/>
          <c:order val="6"/>
          <c:tx>
            <c:v>Linux 50Kx50K 20GEN</c:v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Time'!$E$135:$E$146</c:f>
              <c:numCache>
                <c:formatCode>General</c:formatCode>
                <c:ptCount val="12"/>
                <c:pt idx="0">
                  <c:v>257.05767800000001</c:v>
                </c:pt>
                <c:pt idx="1">
                  <c:v>128.600447</c:v>
                </c:pt>
                <c:pt idx="2">
                  <c:v>64.384635000000003</c:v>
                </c:pt>
                <c:pt idx="3">
                  <c:v>42.908926999999998</c:v>
                </c:pt>
                <c:pt idx="4">
                  <c:v>32.204642999999997</c:v>
                </c:pt>
                <c:pt idx="5">
                  <c:v>25.789321999999999</c:v>
                </c:pt>
                <c:pt idx="6">
                  <c:v>21.527495999999999</c:v>
                </c:pt>
                <c:pt idx="7">
                  <c:v>16.158738</c:v>
                </c:pt>
                <c:pt idx="8">
                  <c:v>12.925678</c:v>
                </c:pt>
                <c:pt idx="9">
                  <c:v>10.785842000000001</c:v>
                </c:pt>
                <c:pt idx="10">
                  <c:v>9.2428760000000008</c:v>
                </c:pt>
                <c:pt idx="11">
                  <c:v>8.1048019999999994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4AF-4FC5-84D5-F67040666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Time - Windows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0"/>
          <c:order val="0"/>
          <c:tx>
            <c:v>Windows 6x6</c:v>
          </c:tx>
          <c:spPr>
            <a:ln w="1905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Time'!$E$14:$E$20</c:f>
              <c:numCache>
                <c:formatCode>General</c:formatCode>
                <c:ptCount val="7"/>
                <c:pt idx="0">
                  <c:v>1.8900000000000001E-4</c:v>
                </c:pt>
                <c:pt idx="1">
                  <c:v>5.7399999999999997E-4</c:v>
                </c:pt>
                <c:pt idx="2">
                  <c:v>8.6899999999999998E-4</c:v>
                </c:pt>
                <c:pt idx="3">
                  <c:v>2.4780000000000002E-3</c:v>
                </c:pt>
                <c:pt idx="4">
                  <c:v>2.3189999999999999E-3</c:v>
                </c:pt>
                <c:pt idx="5">
                  <c:v>1.194E-3</c:v>
                </c:pt>
                <c:pt idx="6">
                  <c:v>2.4160000000000002E-3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2-470B-96E4-B95EA17D0A03}"/>
            </c:ext>
          </c:extLst>
        </c:ser>
        <c:ser>
          <c:idx val="1"/>
          <c:order val="1"/>
          <c:tx>
            <c:v>Windows 10x10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Time'!$E$33:$E$39</c:f>
              <c:numCache>
                <c:formatCode>General</c:formatCode>
                <c:ptCount val="7"/>
                <c:pt idx="0">
                  <c:v>1.9900000000000001E-4</c:v>
                </c:pt>
                <c:pt idx="1">
                  <c:v>4.6799999999999999E-4</c:v>
                </c:pt>
                <c:pt idx="2">
                  <c:v>1.653E-3</c:v>
                </c:pt>
                <c:pt idx="3">
                  <c:v>2.5509999999999999E-3</c:v>
                </c:pt>
                <c:pt idx="4">
                  <c:v>3.238E-3</c:v>
                </c:pt>
                <c:pt idx="5">
                  <c:v>3.4280000000000001E-3</c:v>
                </c:pt>
                <c:pt idx="6">
                  <c:v>1.6919999999999999E-3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82-470B-96E4-B95EA17D0A03}"/>
            </c:ext>
          </c:extLst>
        </c:ser>
        <c:ser>
          <c:idx val="3"/>
          <c:order val="2"/>
          <c:tx>
            <c:v>Windows 840x840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Time'!$E$52:$E$58</c:f>
              <c:numCache>
                <c:formatCode>General</c:formatCode>
                <c:ptCount val="7"/>
                <c:pt idx="0">
                  <c:v>0.202072</c:v>
                </c:pt>
                <c:pt idx="1">
                  <c:v>0.21520500000000001</c:v>
                </c:pt>
                <c:pt idx="2">
                  <c:v>0.25712000000000002</c:v>
                </c:pt>
                <c:pt idx="3">
                  <c:v>0.24959799999999999</c:v>
                </c:pt>
                <c:pt idx="4">
                  <c:v>0.26529900000000001</c:v>
                </c:pt>
                <c:pt idx="5">
                  <c:v>0.28023399999999998</c:v>
                </c:pt>
                <c:pt idx="6">
                  <c:v>0.299479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82-470B-96E4-B95EA17D0A03}"/>
            </c:ext>
          </c:extLst>
        </c:ser>
        <c:ser>
          <c:idx val="4"/>
          <c:order val="3"/>
          <c:tx>
            <c:v>Windows 1680x1680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Time'!$E$71:$E$77</c:f>
              <c:numCache>
                <c:formatCode>General</c:formatCode>
                <c:ptCount val="7"/>
                <c:pt idx="0">
                  <c:v>0.79893800000000004</c:v>
                </c:pt>
                <c:pt idx="1">
                  <c:v>0.45119700000000001</c:v>
                </c:pt>
                <c:pt idx="2">
                  <c:v>0.54662900000000003</c:v>
                </c:pt>
                <c:pt idx="3">
                  <c:v>0.55796900000000005</c:v>
                </c:pt>
                <c:pt idx="4">
                  <c:v>0.58786400000000005</c:v>
                </c:pt>
                <c:pt idx="5">
                  <c:v>0.61109599999999997</c:v>
                </c:pt>
                <c:pt idx="6">
                  <c:v>0.65263300000000002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82-470B-96E4-B95EA17D0A03}"/>
            </c:ext>
          </c:extLst>
        </c:ser>
        <c:ser>
          <c:idx val="5"/>
          <c:order val="4"/>
          <c:tx>
            <c:v>Windows 3360x3360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Time'!$E$90:$E$96</c:f>
              <c:numCache>
                <c:formatCode>General</c:formatCode>
                <c:ptCount val="7"/>
                <c:pt idx="0">
                  <c:v>3.2606570000000001</c:v>
                </c:pt>
                <c:pt idx="1">
                  <c:v>1.7336320000000001</c:v>
                </c:pt>
                <c:pt idx="2">
                  <c:v>1.194823</c:v>
                </c:pt>
                <c:pt idx="3">
                  <c:v>0.82580699999999996</c:v>
                </c:pt>
                <c:pt idx="4">
                  <c:v>0.67168399999999995</c:v>
                </c:pt>
                <c:pt idx="5">
                  <c:v>0.58578200000000002</c:v>
                </c:pt>
                <c:pt idx="6">
                  <c:v>0.56777900000000003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82-470B-96E4-B95EA17D0A03}"/>
            </c:ext>
          </c:extLst>
        </c:ser>
        <c:ser>
          <c:idx val="7"/>
          <c:order val="5"/>
          <c:tx>
            <c:v>Windows 20Kx20K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782-470B-96E4-B95EA17D0A03}"/>
              </c:ext>
            </c:extLst>
          </c:dPt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Time'!$E$128:$E$134</c:f>
              <c:numCache>
                <c:formatCode>General</c:formatCode>
                <c:ptCount val="7"/>
                <c:pt idx="0">
                  <c:v>116.38681</c:v>
                </c:pt>
                <c:pt idx="1">
                  <c:v>61.430937999999998</c:v>
                </c:pt>
                <c:pt idx="2">
                  <c:v>40.044936999999997</c:v>
                </c:pt>
                <c:pt idx="3">
                  <c:v>29.363962999999998</c:v>
                </c:pt>
                <c:pt idx="4">
                  <c:v>23.875588</c:v>
                </c:pt>
                <c:pt idx="5">
                  <c:v>20.168616</c:v>
                </c:pt>
                <c:pt idx="6">
                  <c:v>19.773899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82-470B-96E4-B95EA17D0A03}"/>
            </c:ext>
          </c:extLst>
        </c:ser>
        <c:ser>
          <c:idx val="8"/>
          <c:order val="6"/>
          <c:tx>
            <c:v>Windows 50Kx50K 20GEN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Time'!$E$147:$E$153</c:f>
              <c:numCache>
                <c:formatCode>General</c:formatCode>
                <c:ptCount val="7"/>
                <c:pt idx="0">
                  <c:v>374.51601199999999</c:v>
                </c:pt>
                <c:pt idx="1">
                  <c:v>140.343401</c:v>
                </c:pt>
                <c:pt idx="2">
                  <c:v>73.434614999999994</c:v>
                </c:pt>
                <c:pt idx="3">
                  <c:v>56.176679999999998</c:v>
                </c:pt>
                <c:pt idx="4">
                  <c:v>47.121617000000001</c:v>
                </c:pt>
                <c:pt idx="5">
                  <c:v>38.743904999999998</c:v>
                </c:pt>
                <c:pt idx="6">
                  <c:v>36.128239999999998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782-470B-96E4-B95EA17D0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</c:legendEntry>
      <c:layout>
        <c:manualLayout>
          <c:xMode val="edge"/>
          <c:yMode val="edge"/>
          <c:x val="0.77724088319569373"/>
          <c:y val="0.37486865436063471"/>
          <c:w val="0.21466704302243417"/>
          <c:h val="0.32128024087828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Varianti di Esecuzione 20Kx20K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</c:v>
          </c:tx>
          <c:spPr>
            <a:ln w="254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8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Time'!$E$128:$E$134</c:f>
              <c:numCache>
                <c:formatCode>General</c:formatCode>
                <c:ptCount val="7"/>
                <c:pt idx="0">
                  <c:v>116.38681</c:v>
                </c:pt>
                <c:pt idx="1">
                  <c:v>61.430937999999998</c:v>
                </c:pt>
                <c:pt idx="2">
                  <c:v>40.044936999999997</c:v>
                </c:pt>
                <c:pt idx="3">
                  <c:v>29.363962999999998</c:v>
                </c:pt>
                <c:pt idx="4">
                  <c:v>23.875588</c:v>
                </c:pt>
                <c:pt idx="5">
                  <c:v>20.168616</c:v>
                </c:pt>
                <c:pt idx="6">
                  <c:v>19.773899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8-40EC-A7E9-747A18507A4F}"/>
            </c:ext>
          </c:extLst>
        </c:ser>
        <c:ser>
          <c:idx val="1"/>
          <c:order val="1"/>
          <c:tx>
            <c:v>Save File</c:v>
          </c:tx>
          <c:spPr>
            <a:ln w="19050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xVal>
            <c:numRef>
              <c:f>performance_casi_speciali!$C$6:$C$12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performance_casi_speciali!$F$6:$F$12</c:f>
              <c:numCache>
                <c:formatCode>General</c:formatCode>
                <c:ptCount val="7"/>
                <c:pt idx="0">
                  <c:v>117.222219</c:v>
                </c:pt>
                <c:pt idx="1">
                  <c:v>65.337397999999993</c:v>
                </c:pt>
                <c:pt idx="2">
                  <c:v>42.181792999999999</c:v>
                </c:pt>
                <c:pt idx="3">
                  <c:v>30.502341000000001</c:v>
                </c:pt>
                <c:pt idx="4">
                  <c:v>24.527604</c:v>
                </c:pt>
                <c:pt idx="5">
                  <c:v>20.293755000000001</c:v>
                </c:pt>
                <c:pt idx="6">
                  <c:v>23.094145000000001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28-40EC-A7E9-747A18507A4F}"/>
            </c:ext>
          </c:extLst>
        </c:ser>
        <c:ser>
          <c:idx val="2"/>
          <c:order val="2"/>
          <c:tx>
            <c:v>Profilazione</c:v>
          </c:tx>
          <c:spPr>
            <a:ln w="254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performance_casi_speciali!$C$4:$C$5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xVal>
          <c:yVal>
            <c:numRef>
              <c:f>performance_casi_speciali!$F$4:$F$5</c:f>
              <c:numCache>
                <c:formatCode>General</c:formatCode>
                <c:ptCount val="2"/>
                <c:pt idx="0">
                  <c:v>42.029550999999998</c:v>
                </c:pt>
                <c:pt idx="1">
                  <c:v>22.085944000000001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28-40EC-A7E9-747A18507A4F}"/>
            </c:ext>
          </c:extLst>
        </c:ser>
        <c:ser>
          <c:idx val="3"/>
          <c:order val="3"/>
          <c:tx>
            <c:v>Random Input</c:v>
          </c:tx>
          <c:spPr>
            <a:ln w="254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performance_casi_speciali!$C$2:$C$3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xVal>
          <c:yVal>
            <c:numRef>
              <c:f>performance_casi_speciali!$F$2:$F$3</c:f>
              <c:numCache>
                <c:formatCode>General</c:formatCode>
                <c:ptCount val="2"/>
                <c:pt idx="0">
                  <c:v>53.933371000000001</c:v>
                </c:pt>
                <c:pt idx="1">
                  <c:v>25.272041999999999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28-40EC-A7E9-747A18507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61151"/>
        <c:axId val="150156351"/>
      </c:scatterChart>
      <c:valAx>
        <c:axId val="150161151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</a:t>
                </a:r>
                <a:r>
                  <a:rPr lang="it-IT" baseline="0"/>
                  <a:t> processi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56351"/>
        <c:crosses val="autoZero"/>
        <c:crossBetween val="midCat"/>
        <c:majorUnit val="1"/>
      </c:valAx>
      <c:valAx>
        <c:axId val="1501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6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Random</a:t>
            </a:r>
            <a:r>
              <a:rPr lang="en-US" baseline="0"/>
              <a:t> Matrix Generation, Profiling and Output Saving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performance_casi_speciali!$L$2</c:f>
              <c:strCache>
                <c:ptCount val="1"/>
                <c:pt idx="0">
                  <c:v>NO FILE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performance_casi_speciali!$M$1:$N$1</c:f>
              <c:strCache>
                <c:ptCount val="2"/>
                <c:pt idx="0">
                  <c:v>P4</c:v>
                </c:pt>
                <c:pt idx="1">
                  <c:v>P10</c:v>
                </c:pt>
              </c:strCache>
            </c:strRef>
          </c:cat>
          <c:val>
            <c:numRef>
              <c:f>performance_casi_speciali!$M$2:$N$2</c:f>
              <c:numCache>
                <c:formatCode>General</c:formatCode>
                <c:ptCount val="2"/>
                <c:pt idx="0">
                  <c:v>0.34682122236826107</c:v>
                </c:pt>
                <c:pt idx="1">
                  <c:v>0.25303798733636451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A-433D-A3C7-1565317CF131}"/>
            </c:ext>
          </c:extLst>
        </c:ser>
        <c:ser>
          <c:idx val="1"/>
          <c:order val="1"/>
          <c:tx>
            <c:strRef>
              <c:f>performance_casi_speciali!$L$3</c:f>
              <c:strCache>
                <c:ptCount val="1"/>
                <c:pt idx="0">
                  <c:v>PROF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performance_casi_speciali!$M$1:$N$1</c:f>
              <c:strCache>
                <c:ptCount val="2"/>
                <c:pt idx="0">
                  <c:v>P4</c:v>
                </c:pt>
                <c:pt idx="1">
                  <c:v>P10</c:v>
                </c:pt>
              </c:strCache>
            </c:strRef>
          </c:cat>
          <c:val>
            <c:numRef>
              <c:f>performance_casi_speciali!$M$3:$N$3</c:f>
              <c:numCache>
                <c:formatCode>General</c:formatCode>
                <c:ptCount val="2"/>
                <c:pt idx="0">
                  <c:v>4.9559673423883788E-2</c:v>
                </c:pt>
                <c:pt idx="1">
                  <c:v>9.5064926616680159E-2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A-433D-A3C7-1565317CF131}"/>
            </c:ext>
          </c:extLst>
        </c:ser>
        <c:ser>
          <c:idx val="2"/>
          <c:order val="2"/>
          <c:tx>
            <c:strRef>
              <c:f>performance_casi_speciali!$L$4</c:f>
              <c:strCache>
                <c:ptCount val="1"/>
                <c:pt idx="0">
                  <c:v>SO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performance_casi_speciali!$M$1:$N$1</c:f>
              <c:strCache>
                <c:ptCount val="2"/>
                <c:pt idx="0">
                  <c:v>P4</c:v>
                </c:pt>
                <c:pt idx="1">
                  <c:v>P10</c:v>
                </c:pt>
              </c:strCache>
            </c:strRef>
          </c:cat>
          <c:val>
            <c:numRef>
              <c:f>performance_casi_speciali!$M$4:$N$4</c:f>
              <c:numCache>
                <c:formatCode>General</c:formatCode>
                <c:ptCount val="2"/>
                <c:pt idx="0">
                  <c:v>5.3361452410325971E-2</c:v>
                </c:pt>
                <c:pt idx="1">
                  <c:v>6.204639921747768E-3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A-433D-A3C7-1565317C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5807"/>
        <c:axId val="40598207"/>
      </c:barChart>
      <c:catAx>
        <c:axId val="4059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98207"/>
        <c:crosses val="autoZero"/>
        <c:auto val="1"/>
        <c:lblAlgn val="ctr"/>
        <c:lblOffset val="100"/>
        <c:noMultiLvlLbl val="0"/>
      </c:catAx>
      <c:valAx>
        <c:axId val="405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Impatto percentuale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188056</xdr:colOff>
      <xdr:row>21</xdr:row>
      <xdr:rowOff>98588</xdr:rowOff>
    </xdr:from>
    <xdr:to>
      <xdr:col>23</xdr:col>
      <xdr:colOff>49293</xdr:colOff>
      <xdr:row>45</xdr:row>
      <xdr:rowOff>104421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D41381B-6CBB-DCCD-C890-847297EDA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258792</xdr:colOff>
      <xdr:row>47</xdr:row>
      <xdr:rowOff>61617</xdr:rowOff>
    </xdr:from>
    <xdr:to>
      <xdr:col>22</xdr:col>
      <xdr:colOff>616172</xdr:colOff>
      <xdr:row>72</xdr:row>
      <xdr:rowOff>15983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0886F7B-E981-40DE-9E8A-03BFEC0EF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246470</xdr:colOff>
      <xdr:row>73</xdr:row>
      <xdr:rowOff>61616</xdr:rowOff>
    </xdr:from>
    <xdr:to>
      <xdr:col>22</xdr:col>
      <xdr:colOff>517586</xdr:colOff>
      <xdr:row>98</xdr:row>
      <xdr:rowOff>110911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A1F251D-7F98-4FF8-BB05-707C2FB32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212396</xdr:colOff>
      <xdr:row>99</xdr:row>
      <xdr:rowOff>133384</xdr:rowOff>
    </xdr:from>
    <xdr:to>
      <xdr:col>22</xdr:col>
      <xdr:colOff>258792</xdr:colOff>
      <xdr:row>125</xdr:row>
      <xdr:rowOff>36971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811CE0D-E59A-42BF-9337-C530E565F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24645</xdr:colOff>
      <xdr:row>126</xdr:row>
      <xdr:rowOff>98587</xdr:rowOff>
    </xdr:from>
    <xdr:to>
      <xdr:col>22</xdr:col>
      <xdr:colOff>295762</xdr:colOff>
      <xdr:row>151</xdr:row>
      <xdr:rowOff>172529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22FF63C-C230-471A-8B9C-217CA3FE2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345055</xdr:colOff>
      <xdr:row>153</xdr:row>
      <xdr:rowOff>123234</xdr:rowOff>
    </xdr:from>
    <xdr:to>
      <xdr:col>22</xdr:col>
      <xdr:colOff>332733</xdr:colOff>
      <xdr:row>177</xdr:row>
      <xdr:rowOff>135558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56D41B3-5AAF-46C9-AF0D-F242972DE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209499</xdr:colOff>
      <xdr:row>179</xdr:row>
      <xdr:rowOff>110910</xdr:rowOff>
    </xdr:from>
    <xdr:to>
      <xdr:col>21</xdr:col>
      <xdr:colOff>455968</xdr:colOff>
      <xdr:row>205</xdr:row>
      <xdr:rowOff>86264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BB44CD8-95C1-4DBE-9AFD-D41AE6486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727084</xdr:colOff>
      <xdr:row>207</xdr:row>
      <xdr:rowOff>184850</xdr:rowOff>
    </xdr:from>
    <xdr:to>
      <xdr:col>20</xdr:col>
      <xdr:colOff>548031</xdr:colOff>
      <xdr:row>233</xdr:row>
      <xdr:rowOff>73939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057B520-F3DF-42A6-B27A-BDF549754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751731</xdr:colOff>
      <xdr:row>236</xdr:row>
      <xdr:rowOff>0</xdr:rowOff>
    </xdr:from>
    <xdr:to>
      <xdr:col>20</xdr:col>
      <xdr:colOff>548031</xdr:colOff>
      <xdr:row>260</xdr:row>
      <xdr:rowOff>86264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3AAEC591-62C2-4ED5-848F-8A496E4CA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73941</xdr:colOff>
      <xdr:row>263</xdr:row>
      <xdr:rowOff>-1</xdr:rowOff>
    </xdr:from>
    <xdr:to>
      <xdr:col>20</xdr:col>
      <xdr:colOff>548031</xdr:colOff>
      <xdr:row>290</xdr:row>
      <xdr:rowOff>110909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2CFF1B8E-9328-432D-8D89-A1C5CC9C8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335936</xdr:colOff>
      <xdr:row>22</xdr:row>
      <xdr:rowOff>49294</xdr:rowOff>
    </xdr:from>
    <xdr:to>
      <xdr:col>38</xdr:col>
      <xdr:colOff>60891</xdr:colOff>
      <xdr:row>47</xdr:row>
      <xdr:rowOff>0</xdr:rowOff>
    </xdr:to>
    <xdr:graphicFrame macro="">
      <xdr:nvGraphicFramePr>
        <xdr:cNvPr id="22" name="Grafico 21">
          <a:extLst>
            <a:ext uri="{FF2B5EF4-FFF2-40B4-BE49-F238E27FC236}">
              <a16:creationId xmlns:a16="http://schemas.microsoft.com/office/drawing/2014/main" id="{B9145B11-E0B4-4C18-8055-9F5A3DEA5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267491</xdr:colOff>
      <xdr:row>49</xdr:row>
      <xdr:rowOff>73941</xdr:rowOff>
    </xdr:from>
    <xdr:to>
      <xdr:col>38</xdr:col>
      <xdr:colOff>10148</xdr:colOff>
      <xdr:row>74</xdr:row>
      <xdr:rowOff>172529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9E5147C9-4D84-44B1-B62D-CB33E8DB2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231971</xdr:colOff>
      <xdr:row>75</xdr:row>
      <xdr:rowOff>152230</xdr:rowOff>
    </xdr:from>
    <xdr:to>
      <xdr:col>37</xdr:col>
      <xdr:colOff>466841</xdr:colOff>
      <xdr:row>100</xdr:row>
      <xdr:rowOff>111635</xdr:rowOff>
    </xdr:to>
    <xdr:graphicFrame macro="">
      <xdr:nvGraphicFramePr>
        <xdr:cNvPr id="24" name="Grafico 23">
          <a:extLst>
            <a:ext uri="{FF2B5EF4-FFF2-40B4-BE49-F238E27FC236}">
              <a16:creationId xmlns:a16="http://schemas.microsoft.com/office/drawing/2014/main" id="{82517DE2-697F-4059-854B-550C4C69C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202973</xdr:colOff>
      <xdr:row>101</xdr:row>
      <xdr:rowOff>12324</xdr:rowOff>
    </xdr:from>
    <xdr:to>
      <xdr:col>37</xdr:col>
      <xdr:colOff>385651</xdr:colOff>
      <xdr:row>125</xdr:row>
      <xdr:rowOff>162380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AF7CE976-071C-472E-A1E2-BCB07D92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72491</xdr:colOff>
      <xdr:row>126</xdr:row>
      <xdr:rowOff>51468</xdr:rowOff>
    </xdr:from>
    <xdr:to>
      <xdr:col>37</xdr:col>
      <xdr:colOff>537881</xdr:colOff>
      <xdr:row>150</xdr:row>
      <xdr:rowOff>101488</xdr:rowOff>
    </xdr:to>
    <xdr:graphicFrame macro="">
      <xdr:nvGraphicFramePr>
        <xdr:cNvPr id="26" name="Grafico 25">
          <a:extLst>
            <a:ext uri="{FF2B5EF4-FFF2-40B4-BE49-F238E27FC236}">
              <a16:creationId xmlns:a16="http://schemas.microsoft.com/office/drawing/2014/main" id="{F3C1E333-7E86-4057-BD37-8831DA20A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145336</xdr:colOff>
      <xdr:row>153</xdr:row>
      <xdr:rowOff>169716</xdr:rowOff>
    </xdr:from>
    <xdr:to>
      <xdr:col>37</xdr:col>
      <xdr:colOff>539150</xdr:colOff>
      <xdr:row>182</xdr:row>
      <xdr:rowOff>21565</xdr:rowOff>
    </xdr:to>
    <xdr:graphicFrame macro="">
      <xdr:nvGraphicFramePr>
        <xdr:cNvPr id="27" name="Grafico 26">
          <a:extLst>
            <a:ext uri="{FF2B5EF4-FFF2-40B4-BE49-F238E27FC236}">
              <a16:creationId xmlns:a16="http://schemas.microsoft.com/office/drawing/2014/main" id="{DAA51504-7AEB-402E-BE1F-634D7D0C9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104750</xdr:colOff>
      <xdr:row>183</xdr:row>
      <xdr:rowOff>160202</xdr:rowOff>
    </xdr:from>
    <xdr:to>
      <xdr:col>37</xdr:col>
      <xdr:colOff>539150</xdr:colOff>
      <xdr:row>212</xdr:row>
      <xdr:rowOff>21566</xdr:rowOff>
    </xdr:to>
    <xdr:graphicFrame macro="">
      <xdr:nvGraphicFramePr>
        <xdr:cNvPr id="28" name="Grafico 27">
          <a:extLst>
            <a:ext uri="{FF2B5EF4-FFF2-40B4-BE49-F238E27FC236}">
              <a16:creationId xmlns:a16="http://schemas.microsoft.com/office/drawing/2014/main" id="{CC8DF157-0F88-4D6D-BCEE-89BA500BD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194095</xdr:colOff>
      <xdr:row>213</xdr:row>
      <xdr:rowOff>83183</xdr:rowOff>
    </xdr:from>
    <xdr:to>
      <xdr:col>37</xdr:col>
      <xdr:colOff>517584</xdr:colOff>
      <xdr:row>242</xdr:row>
      <xdr:rowOff>86263</xdr:rowOff>
    </xdr:to>
    <xdr:graphicFrame macro="">
      <xdr:nvGraphicFramePr>
        <xdr:cNvPr id="29" name="Grafico 28">
          <a:extLst>
            <a:ext uri="{FF2B5EF4-FFF2-40B4-BE49-F238E27FC236}">
              <a16:creationId xmlns:a16="http://schemas.microsoft.com/office/drawing/2014/main" id="{EE64A71C-6C9B-4C05-8ABE-8ABC98BE8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67776</xdr:colOff>
      <xdr:row>245</xdr:row>
      <xdr:rowOff>40050</xdr:rowOff>
    </xdr:from>
    <xdr:to>
      <xdr:col>37</xdr:col>
      <xdr:colOff>539149</xdr:colOff>
      <xdr:row>273</xdr:row>
      <xdr:rowOff>150961</xdr:rowOff>
    </xdr:to>
    <xdr:graphicFrame macro="">
      <xdr:nvGraphicFramePr>
        <xdr:cNvPr id="30" name="Grafico 29">
          <a:extLst>
            <a:ext uri="{FF2B5EF4-FFF2-40B4-BE49-F238E27FC236}">
              <a16:creationId xmlns:a16="http://schemas.microsoft.com/office/drawing/2014/main" id="{5976EA4A-CF18-460F-953A-72504560C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113990</xdr:colOff>
      <xdr:row>275</xdr:row>
      <xdr:rowOff>49298</xdr:rowOff>
    </xdr:from>
    <xdr:to>
      <xdr:col>37</xdr:col>
      <xdr:colOff>496018</xdr:colOff>
      <xdr:row>306</xdr:row>
      <xdr:rowOff>107831</xdr:rowOff>
    </xdr:to>
    <xdr:graphicFrame macro="">
      <xdr:nvGraphicFramePr>
        <xdr:cNvPr id="31" name="Grafico 30">
          <a:extLst>
            <a:ext uri="{FF2B5EF4-FFF2-40B4-BE49-F238E27FC236}">
              <a16:creationId xmlns:a16="http://schemas.microsoft.com/office/drawing/2014/main" id="{A801E57A-1351-4BF4-A629-D2CDE5F47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135558</xdr:colOff>
      <xdr:row>293</xdr:row>
      <xdr:rowOff>184852</xdr:rowOff>
    </xdr:from>
    <xdr:to>
      <xdr:col>20</xdr:col>
      <xdr:colOff>548031</xdr:colOff>
      <xdr:row>318</xdr:row>
      <xdr:rowOff>98587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FB6AE11-8352-4D76-9F66-36031934A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36971</xdr:colOff>
      <xdr:row>321</xdr:row>
      <xdr:rowOff>0</xdr:rowOff>
    </xdr:from>
    <xdr:to>
      <xdr:col>20</xdr:col>
      <xdr:colOff>548031</xdr:colOff>
      <xdr:row>347</xdr:row>
      <xdr:rowOff>123234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30A192BC-7DCF-41EF-9190-AAAD326B1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702436</xdr:colOff>
      <xdr:row>349</xdr:row>
      <xdr:rowOff>0</xdr:rowOff>
    </xdr:from>
    <xdr:to>
      <xdr:col>23</xdr:col>
      <xdr:colOff>345057</xdr:colOff>
      <xdr:row>382</xdr:row>
      <xdr:rowOff>86264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1B9F3C4F-3098-4396-AA4F-A46BFDF79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640821</xdr:colOff>
      <xdr:row>384</xdr:row>
      <xdr:rowOff>71039</xdr:rowOff>
    </xdr:from>
    <xdr:to>
      <xdr:col>23</xdr:col>
      <xdr:colOff>385653</xdr:colOff>
      <xdr:row>416</xdr:row>
      <xdr:rowOff>147881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5249577D-4CA5-479E-A0B0-BD904C2F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392502</xdr:colOff>
      <xdr:row>15</xdr:row>
      <xdr:rowOff>30191</xdr:rowOff>
    </xdr:from>
    <xdr:to>
      <xdr:col>5</xdr:col>
      <xdr:colOff>478766</xdr:colOff>
      <xdr:row>30</xdr:row>
      <xdr:rowOff>56070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7C06D47-56D8-58DD-9378-1D9DA878B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427005</xdr:colOff>
      <xdr:row>13</xdr:row>
      <xdr:rowOff>150961</xdr:rowOff>
    </xdr:from>
    <xdr:to>
      <xdr:col>14</xdr:col>
      <xdr:colOff>500333</xdr:colOff>
      <xdr:row>32</xdr:row>
      <xdr:rowOff>86264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937B22A-9569-F512-AE47-029140829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DADC74A-6A07-414F-A181-B9E7D5461E96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OS" tableColumnId="1"/>
      <queryTableField id="2" name="Matrix Size" tableColumnId="2"/>
      <queryTableField id="3" name="Process Count" tableColumnId="3"/>
      <queryTableField id="4" name="Generations (GEN)" tableColumnId="4"/>
      <queryTableField id="5" name="Max Time (s)" tableColumnId="5"/>
      <queryTableField id="6" name="Rank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73180662-01E0-443D-B205-2BA554029E2B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S" tableColumnId="1"/>
      <queryTableField id="2" name="Matrix Size" tableColumnId="2"/>
      <queryTableField id="3" name="Process Count" tableColumnId="3"/>
      <queryTableField id="4" name="Generations (GEN)" tableColumnId="4"/>
      <queryTableField id="5" name="Type/Tag" tableColumnId="5"/>
      <queryTableField id="6" name="Max Time (s)" tableColumnId="6"/>
      <queryTableField id="7" name="Rank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B5F73-E888-4F8D-A3D6-AB2E9C01996A}" name="formatted_process_performance_excel" displayName="formatted_process_performance_excel" ref="A1:I162" tableType="queryTable" totalsRowShown="0">
  <autoFilter ref="A1:I162" xr:uid="{DDCB5F73-E888-4F8D-A3D6-AB2E9C01996A}"/>
  <tableColumns count="9">
    <tableColumn id="1" xr3:uid="{8DDEDD42-0931-4496-B63A-F903058232D9}" uniqueName="1" name="OS" queryTableFieldId="1" dataDxfId="10"/>
    <tableColumn id="2" xr3:uid="{4BA275DA-DABF-4CE4-A998-10360321A0A4}" uniqueName="2" name="Matrix Size" queryTableFieldId="2" dataDxfId="9"/>
    <tableColumn id="3" xr3:uid="{703BD4A1-7708-4A69-AFE6-F45F5648AB64}" uniqueName="3" name="Process Count" queryTableFieldId="3"/>
    <tableColumn id="4" xr3:uid="{FDAF7652-F259-4CB3-BE4C-05262FBD7E42}" uniqueName="4" name="Generations (GEN)" queryTableFieldId="4"/>
    <tableColumn id="5" xr3:uid="{E3654D2C-93BC-451E-A9EE-6014241EB687}" uniqueName="5" name="Max Time (s)" queryTableFieldId="5"/>
    <tableColumn id="6" xr3:uid="{F17A7B33-E855-40E3-9F1A-D1CBAC6ED572}" uniqueName="6" name="Rank" queryTableFieldId="6"/>
    <tableColumn id="7" xr3:uid="{F80133D9-1B88-4A8B-ACBA-1E960CD1E60B}" uniqueName="7" name="Sequential Time (T1)" queryTableFieldId="7" dataDxfId="8">
      <calculatedColumnFormula>IF(COUNTIFS($A$2:$A$162, A2, $B$2:$B$162, B2, $C$2:$C$162, 1)&gt;0, AVERAGEIFS($E$2:$E$162, $A$2:$A$162, A2, $B$2:$B$162, B2, $C$2:$C$162, 1), _xlfn.MINIFS($E$2:$E$162, $A$2:$A$162, A2, $B$2:$B$162, B2))</calculatedColumnFormula>
    </tableColumn>
    <tableColumn id="8" xr3:uid="{39684B2C-7551-4030-B937-4536C879F55E}" uniqueName="8" name="Speedup" queryTableFieldId="8" dataDxfId="7">
      <calculatedColumnFormula xml:space="preserve"> G2 / E2</calculatedColumnFormula>
    </tableColumn>
    <tableColumn id="9" xr3:uid="{6E0B9F61-68AA-427F-8F34-11ADB7A3DBF4}" uniqueName="9" name="Efficency" queryTableFieldId="9" dataDxfId="6">
      <calculatedColumnFormula>H2 / C2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7FFB7-704C-4CF7-AF21-C0D24F26EAC9}" name="performance_casi_speciali" displayName="performance_casi_speciali" ref="A1:J12" tableType="queryTable" totalsRowShown="0">
  <autoFilter ref="A1:J12" xr:uid="{E7D7FFB7-704C-4CF7-AF21-C0D24F26EAC9}"/>
  <tableColumns count="10">
    <tableColumn id="1" xr3:uid="{A23E72D4-B057-473A-AAE0-AB75FF99271D}" uniqueName="1" name="OS" queryTableFieldId="1" dataDxfId="5"/>
    <tableColumn id="2" xr3:uid="{339AFF07-48A3-4DAB-85EB-7E87FD2D9325}" uniqueName="2" name="Matrix Size" queryTableFieldId="2" dataDxfId="4"/>
    <tableColumn id="3" xr3:uid="{007F090E-F834-463C-BE34-5D6A0D5B671D}" uniqueName="3" name="Process Count" queryTableFieldId="3"/>
    <tableColumn id="4" xr3:uid="{B3E2CC34-584F-4029-B3F0-2FF4D1FA4608}" uniqueName="4" name="Generations (GEN)" queryTableFieldId="4"/>
    <tableColumn id="5" xr3:uid="{F027B512-2145-4873-8C40-0F7A6F1F17E9}" uniqueName="5" name="Type/Tag" queryTableFieldId="5" dataDxfId="3"/>
    <tableColumn id="6" xr3:uid="{333E333E-233B-40A1-940E-DD23AF29A531}" uniqueName="6" name="Max Time (s)" queryTableFieldId="6"/>
    <tableColumn id="7" xr3:uid="{733995FD-A06C-46FA-97BA-432E32ACA408}" uniqueName="7" name="Rank" queryTableFieldId="7"/>
    <tableColumn id="8" xr3:uid="{F8937C4B-4CAB-4F52-80B0-C90783B07C25}" uniqueName="8" name="Tempo Baseline (Standard)" queryTableFieldId="8" dataDxfId="2">
      <calculatedColumnFormula>AVERAGEIFS('Standard Time'!$E:$E, 'Standard Time'!$A:$A, "Windows", 'Standard Time'!$B:$B, "20kx20k", 'Standard Time'!$C:$C, C2)</calculatedColumnFormula>
    </tableColumn>
    <tableColumn id="9" xr3:uid="{E1EC422F-E8A5-4B88-9877-0DEE31290298}" uniqueName="9" name="Differenza di Tempo (s)" queryTableFieldId="9" dataDxfId="1">
      <calculatedColumnFormula>F2 - H2</calculatedColumnFormula>
    </tableColumn>
    <tableColumn id="10" xr3:uid="{97CF608D-9794-448B-A508-F2E35AE2FF31}" uniqueName="10" name="Impatto Percentuale (%)" queryTableFieldId="10" dataDxfId="0">
      <calculatedColumnFormula>I2 / H2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C505-E081-4BA9-AB3C-913B19589443}">
  <sheetPr codeName="Foglio1"/>
  <dimension ref="A1:AA162"/>
  <sheetViews>
    <sheetView tabSelected="1" topLeftCell="A4" zoomScale="25" zoomScaleNormal="25" workbookViewId="0">
      <selection activeCell="AX57" sqref="AX57"/>
    </sheetView>
  </sheetViews>
  <sheetFormatPr defaultRowHeight="14.4" x14ac:dyDescent="0.3"/>
  <cols>
    <col min="1" max="1" width="8.33203125" bestFit="1" customWidth="1"/>
    <col min="2" max="2" width="12.33203125" bestFit="1" customWidth="1"/>
    <col min="3" max="3" width="15" bestFit="1" customWidth="1"/>
    <col min="4" max="4" width="18.77734375" bestFit="1" customWidth="1"/>
    <col min="5" max="5" width="13.44140625" bestFit="1" customWidth="1"/>
    <col min="6" max="6" width="7.33203125" bestFit="1" customWidth="1"/>
    <col min="7" max="7" width="29.44140625" customWidth="1"/>
    <col min="8" max="8" width="13.44140625" bestFit="1" customWidth="1"/>
    <col min="9" max="9" width="11" customWidth="1"/>
  </cols>
  <sheetData>
    <row r="1" spans="1:14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18</v>
      </c>
      <c r="G1" t="s">
        <v>15</v>
      </c>
      <c r="H1" t="s">
        <v>16</v>
      </c>
      <c r="I1" t="s">
        <v>17</v>
      </c>
    </row>
    <row r="2" spans="1:14" x14ac:dyDescent="0.3">
      <c r="A2" t="s">
        <v>13</v>
      </c>
      <c r="B2" t="s">
        <v>7</v>
      </c>
      <c r="C2">
        <v>1</v>
      </c>
      <c r="D2">
        <v>100</v>
      </c>
      <c r="E2">
        <v>1.25E-4</v>
      </c>
      <c r="F2">
        <v>0</v>
      </c>
      <c r="G2">
        <f t="shared" ref="G2:G33" si="0">IF(COUNTIFS($A$2:$A$162, A2, $B$2:$B$162, B2, $C$2:$C$162, 1)&gt;0, AVERAGEIFS($E$2:$E$162, $A$2:$A$162, A2, $B$2:$B$162, B2, $C$2:$C$162, 1), _xlfn.MINIFS($E$2:$E$162, $A$2:$A$162, A2, $B$2:$B$162, B2))</f>
        <v>1.25E-4</v>
      </c>
      <c r="H2">
        <f t="shared" ref="H2:H33" si="1" xml:space="preserve"> G2 / E2</f>
        <v>1</v>
      </c>
      <c r="I2">
        <f>H2 / C2</f>
        <v>1</v>
      </c>
      <c r="L2">
        <v>1</v>
      </c>
      <c r="M2">
        <v>1</v>
      </c>
      <c r="N2">
        <v>1</v>
      </c>
    </row>
    <row r="3" spans="1:14" x14ac:dyDescent="0.3">
      <c r="A3" t="s">
        <v>13</v>
      </c>
      <c r="B3" t="s">
        <v>7</v>
      </c>
      <c r="C3">
        <v>2</v>
      </c>
      <c r="D3">
        <v>100</v>
      </c>
      <c r="E3">
        <v>1.2459999999999999E-3</v>
      </c>
      <c r="F3">
        <v>0</v>
      </c>
      <c r="G3">
        <f t="shared" si="0"/>
        <v>1.25E-4</v>
      </c>
      <c r="H3">
        <f t="shared" si="1"/>
        <v>0.10032102728731943</v>
      </c>
      <c r="I3">
        <f>H3 / C3</f>
        <v>5.0160513643659713E-2</v>
      </c>
      <c r="L3">
        <v>2</v>
      </c>
      <c r="M3">
        <v>2</v>
      </c>
      <c r="N3">
        <v>1</v>
      </c>
    </row>
    <row r="4" spans="1:14" x14ac:dyDescent="0.3">
      <c r="A4" t="s">
        <v>13</v>
      </c>
      <c r="B4" t="s">
        <v>7</v>
      </c>
      <c r="C4">
        <v>4</v>
      </c>
      <c r="D4">
        <v>100</v>
      </c>
      <c r="E4">
        <v>5.44E-4</v>
      </c>
      <c r="F4">
        <v>0</v>
      </c>
      <c r="G4">
        <f t="shared" si="0"/>
        <v>1.25E-4</v>
      </c>
      <c r="H4">
        <f t="shared" si="1"/>
        <v>0.2297794117647059</v>
      </c>
      <c r="I4">
        <f t="shared" ref="I4:I33" si="2">H4 / C4</f>
        <v>5.7444852941176475E-2</v>
      </c>
      <c r="L4">
        <v>4</v>
      </c>
      <c r="M4">
        <v>4</v>
      </c>
      <c r="N4">
        <v>1</v>
      </c>
    </row>
    <row r="5" spans="1:14" x14ac:dyDescent="0.3">
      <c r="A5" t="s">
        <v>13</v>
      </c>
      <c r="B5" t="s">
        <v>7</v>
      </c>
      <c r="C5">
        <v>6</v>
      </c>
      <c r="D5">
        <v>100</v>
      </c>
      <c r="E5">
        <v>0.95716100000000004</v>
      </c>
      <c r="F5">
        <v>5</v>
      </c>
      <c r="G5">
        <f t="shared" si="0"/>
        <v>1.25E-4</v>
      </c>
      <c r="H5">
        <f t="shared" si="1"/>
        <v>1.3059453947663976E-4</v>
      </c>
      <c r="I5">
        <f t="shared" si="2"/>
        <v>2.1765756579439959E-5</v>
      </c>
      <c r="L5">
        <v>6</v>
      </c>
      <c r="M5">
        <v>6</v>
      </c>
      <c r="N5">
        <v>1</v>
      </c>
    </row>
    <row r="6" spans="1:14" x14ac:dyDescent="0.3">
      <c r="A6" t="s">
        <v>13</v>
      </c>
      <c r="B6" t="s">
        <v>7</v>
      </c>
      <c r="C6">
        <v>8</v>
      </c>
      <c r="D6">
        <v>100</v>
      </c>
      <c r="E6">
        <v>0.64385899999999996</v>
      </c>
      <c r="F6">
        <v>5</v>
      </c>
      <c r="G6">
        <f t="shared" si="0"/>
        <v>1.25E-4</v>
      </c>
      <c r="H6">
        <f t="shared" si="1"/>
        <v>1.94141885102173E-4</v>
      </c>
      <c r="I6">
        <f t="shared" si="2"/>
        <v>2.4267735637771625E-5</v>
      </c>
      <c r="L6">
        <v>8</v>
      </c>
      <c r="M6">
        <v>8</v>
      </c>
      <c r="N6">
        <v>1</v>
      </c>
    </row>
    <row r="7" spans="1:14" x14ac:dyDescent="0.3">
      <c r="A7" t="s">
        <v>13</v>
      </c>
      <c r="B7" t="s">
        <v>7</v>
      </c>
      <c r="C7">
        <v>10</v>
      </c>
      <c r="D7">
        <v>100</v>
      </c>
      <c r="E7">
        <v>0.63064799999999999</v>
      </c>
      <c r="F7">
        <v>5</v>
      </c>
      <c r="G7">
        <f t="shared" si="0"/>
        <v>1.25E-4</v>
      </c>
      <c r="H7">
        <f t="shared" si="1"/>
        <v>1.9820882647689361E-4</v>
      </c>
      <c r="I7">
        <f t="shared" si="2"/>
        <v>1.982088264768936E-5</v>
      </c>
      <c r="L7">
        <v>10</v>
      </c>
      <c r="M7">
        <v>10</v>
      </c>
      <c r="N7">
        <v>1</v>
      </c>
    </row>
    <row r="8" spans="1:14" x14ac:dyDescent="0.3">
      <c r="A8" t="s">
        <v>13</v>
      </c>
      <c r="B8" t="s">
        <v>7</v>
      </c>
      <c r="C8">
        <v>12</v>
      </c>
      <c r="D8">
        <v>100</v>
      </c>
      <c r="E8">
        <v>0.49629299999999998</v>
      </c>
      <c r="F8">
        <v>5</v>
      </c>
      <c r="G8">
        <f t="shared" si="0"/>
        <v>1.25E-4</v>
      </c>
      <c r="H8">
        <f t="shared" si="1"/>
        <v>2.5186734449206418E-4</v>
      </c>
      <c r="I8">
        <f t="shared" si="2"/>
        <v>2.0988945374338681E-5</v>
      </c>
      <c r="L8">
        <v>12</v>
      </c>
      <c r="M8">
        <v>12</v>
      </c>
      <c r="N8">
        <v>1</v>
      </c>
    </row>
    <row r="9" spans="1:14" x14ac:dyDescent="0.3">
      <c r="A9" t="s">
        <v>13</v>
      </c>
      <c r="B9" t="s">
        <v>7</v>
      </c>
      <c r="C9">
        <v>16</v>
      </c>
      <c r="D9">
        <v>100</v>
      </c>
      <c r="E9">
        <v>3.1075490000000001</v>
      </c>
      <c r="F9">
        <v>7</v>
      </c>
      <c r="G9">
        <f t="shared" si="0"/>
        <v>1.25E-4</v>
      </c>
      <c r="H9">
        <f t="shared" si="1"/>
        <v>4.0224627190110279E-5</v>
      </c>
      <c r="I9">
        <f t="shared" si="2"/>
        <v>2.5140391993818924E-6</v>
      </c>
      <c r="L9">
        <v>16</v>
      </c>
      <c r="M9">
        <v>16</v>
      </c>
      <c r="N9">
        <v>1</v>
      </c>
    </row>
    <row r="10" spans="1:14" x14ac:dyDescent="0.3">
      <c r="A10" t="s">
        <v>13</v>
      </c>
      <c r="B10" t="s">
        <v>7</v>
      </c>
      <c r="C10">
        <v>20</v>
      </c>
      <c r="D10">
        <v>100</v>
      </c>
      <c r="E10">
        <v>3.6576390000000001</v>
      </c>
      <c r="F10">
        <v>7</v>
      </c>
      <c r="G10">
        <f t="shared" si="0"/>
        <v>1.25E-4</v>
      </c>
      <c r="H10">
        <f t="shared" si="1"/>
        <v>3.4175051173721629E-5</v>
      </c>
      <c r="I10">
        <f t="shared" si="2"/>
        <v>1.7087525586860816E-6</v>
      </c>
      <c r="L10">
        <v>20</v>
      </c>
      <c r="M10">
        <v>20</v>
      </c>
      <c r="N10">
        <v>1</v>
      </c>
    </row>
    <row r="11" spans="1:14" x14ac:dyDescent="0.3">
      <c r="A11" t="s">
        <v>13</v>
      </c>
      <c r="B11" t="s">
        <v>7</v>
      </c>
      <c r="C11">
        <v>24</v>
      </c>
      <c r="D11">
        <v>100</v>
      </c>
      <c r="E11">
        <v>3.5158700000000001</v>
      </c>
      <c r="F11">
        <v>5</v>
      </c>
      <c r="G11">
        <f t="shared" si="0"/>
        <v>1.25E-4</v>
      </c>
      <c r="H11">
        <f t="shared" si="1"/>
        <v>3.555307790106005E-5</v>
      </c>
      <c r="I11">
        <f t="shared" si="2"/>
        <v>1.4813782458775021E-6</v>
      </c>
      <c r="L11">
        <v>24</v>
      </c>
      <c r="M11">
        <v>24</v>
      </c>
      <c r="N11">
        <v>1</v>
      </c>
    </row>
    <row r="12" spans="1:14" x14ac:dyDescent="0.3">
      <c r="A12" t="s">
        <v>13</v>
      </c>
      <c r="B12" t="s">
        <v>7</v>
      </c>
      <c r="C12">
        <v>28</v>
      </c>
      <c r="D12">
        <v>100</v>
      </c>
      <c r="E12">
        <v>4.9832900000000002</v>
      </c>
      <c r="F12">
        <v>25</v>
      </c>
      <c r="G12">
        <f t="shared" si="0"/>
        <v>1.25E-4</v>
      </c>
      <c r="H12">
        <f t="shared" si="1"/>
        <v>2.5083830160396043E-5</v>
      </c>
      <c r="I12">
        <f t="shared" si="2"/>
        <v>8.9585107715700153E-7</v>
      </c>
      <c r="L12">
        <v>28</v>
      </c>
      <c r="M12">
        <v>28</v>
      </c>
      <c r="N12">
        <v>1</v>
      </c>
    </row>
    <row r="13" spans="1:14" x14ac:dyDescent="0.3">
      <c r="A13" t="s">
        <v>13</v>
      </c>
      <c r="B13" t="s">
        <v>7</v>
      </c>
      <c r="C13">
        <v>32</v>
      </c>
      <c r="D13">
        <v>100</v>
      </c>
      <c r="E13">
        <v>7.2334420000000001</v>
      </c>
      <c r="F13">
        <v>21</v>
      </c>
      <c r="G13">
        <f t="shared" si="0"/>
        <v>1.25E-4</v>
      </c>
      <c r="H13">
        <f t="shared" si="1"/>
        <v>1.7280846379911527E-5</v>
      </c>
      <c r="I13">
        <f t="shared" si="2"/>
        <v>5.4002644937223523E-7</v>
      </c>
      <c r="L13">
        <v>32</v>
      </c>
      <c r="M13">
        <v>32</v>
      </c>
      <c r="N13">
        <v>1</v>
      </c>
    </row>
    <row r="14" spans="1:14" x14ac:dyDescent="0.3">
      <c r="A14" t="s">
        <v>14</v>
      </c>
      <c r="B14" t="s">
        <v>7</v>
      </c>
      <c r="C14">
        <v>1</v>
      </c>
      <c r="D14">
        <v>100</v>
      </c>
      <c r="E14">
        <v>1.8900000000000001E-4</v>
      </c>
      <c r="F14">
        <v>0</v>
      </c>
      <c r="G14">
        <f t="shared" si="0"/>
        <v>1.8900000000000001E-4</v>
      </c>
      <c r="H14">
        <f t="shared" si="1"/>
        <v>1</v>
      </c>
      <c r="I14">
        <f t="shared" si="2"/>
        <v>1</v>
      </c>
    </row>
    <row r="15" spans="1:14" x14ac:dyDescent="0.3">
      <c r="A15" t="s">
        <v>14</v>
      </c>
      <c r="B15" t="s">
        <v>7</v>
      </c>
      <c r="C15">
        <v>2</v>
      </c>
      <c r="D15">
        <v>100</v>
      </c>
      <c r="E15">
        <v>5.7399999999999997E-4</v>
      </c>
      <c r="F15">
        <v>1</v>
      </c>
      <c r="G15">
        <f t="shared" si="0"/>
        <v>1.8900000000000001E-4</v>
      </c>
      <c r="H15">
        <f t="shared" si="1"/>
        <v>0.32926829268292684</v>
      </c>
      <c r="I15">
        <f t="shared" si="2"/>
        <v>0.16463414634146342</v>
      </c>
    </row>
    <row r="16" spans="1:14" x14ac:dyDescent="0.3">
      <c r="A16" t="s">
        <v>14</v>
      </c>
      <c r="B16" t="s">
        <v>7</v>
      </c>
      <c r="C16">
        <v>4</v>
      </c>
      <c r="D16">
        <v>100</v>
      </c>
      <c r="E16">
        <v>8.6899999999999998E-4</v>
      </c>
      <c r="F16">
        <v>3</v>
      </c>
      <c r="G16">
        <f t="shared" si="0"/>
        <v>1.8900000000000001E-4</v>
      </c>
      <c r="H16">
        <f t="shared" si="1"/>
        <v>0.21749136939010358</v>
      </c>
      <c r="I16">
        <f t="shared" si="2"/>
        <v>5.4372842347525895E-2</v>
      </c>
    </row>
    <row r="17" spans="1:27" x14ac:dyDescent="0.3">
      <c r="A17" t="s">
        <v>14</v>
      </c>
      <c r="B17" t="s">
        <v>7</v>
      </c>
      <c r="C17">
        <v>6</v>
      </c>
      <c r="D17">
        <v>100</v>
      </c>
      <c r="E17">
        <v>2.4780000000000002E-3</v>
      </c>
      <c r="F17">
        <v>5</v>
      </c>
      <c r="G17">
        <f t="shared" si="0"/>
        <v>1.8900000000000001E-4</v>
      </c>
      <c r="H17">
        <f t="shared" si="1"/>
        <v>7.6271186440677971E-2</v>
      </c>
      <c r="I17">
        <f t="shared" si="2"/>
        <v>1.2711864406779662E-2</v>
      </c>
    </row>
    <row r="18" spans="1:27" x14ac:dyDescent="0.3">
      <c r="A18" t="s">
        <v>14</v>
      </c>
      <c r="B18" t="s">
        <v>7</v>
      </c>
      <c r="C18">
        <v>8</v>
      </c>
      <c r="D18">
        <v>100</v>
      </c>
      <c r="E18">
        <v>2.3189999999999999E-3</v>
      </c>
      <c r="F18">
        <v>7</v>
      </c>
      <c r="G18">
        <f t="shared" si="0"/>
        <v>1.8900000000000001E-4</v>
      </c>
      <c r="H18">
        <f t="shared" si="1"/>
        <v>8.1500646830530404E-2</v>
      </c>
      <c r="I18">
        <f t="shared" si="2"/>
        <v>1.0187580853816301E-2</v>
      </c>
    </row>
    <row r="19" spans="1:27" x14ac:dyDescent="0.3">
      <c r="A19" t="s">
        <v>14</v>
      </c>
      <c r="B19" t="s">
        <v>7</v>
      </c>
      <c r="C19">
        <v>10</v>
      </c>
      <c r="D19">
        <v>100</v>
      </c>
      <c r="E19">
        <v>1.194E-3</v>
      </c>
      <c r="F19">
        <v>3</v>
      </c>
      <c r="G19">
        <f t="shared" si="0"/>
        <v>1.8900000000000001E-4</v>
      </c>
      <c r="H19">
        <f t="shared" si="1"/>
        <v>0.15829145728643218</v>
      </c>
      <c r="I19">
        <f t="shared" si="2"/>
        <v>1.5829145728643218E-2</v>
      </c>
    </row>
    <row r="20" spans="1:27" x14ac:dyDescent="0.3">
      <c r="A20" t="s">
        <v>14</v>
      </c>
      <c r="B20" t="s">
        <v>7</v>
      </c>
      <c r="C20">
        <v>12</v>
      </c>
      <c r="D20">
        <v>100</v>
      </c>
      <c r="E20">
        <v>2.4160000000000002E-3</v>
      </c>
      <c r="F20">
        <v>7</v>
      </c>
      <c r="G20">
        <f t="shared" si="0"/>
        <v>1.8900000000000001E-4</v>
      </c>
      <c r="H20">
        <f t="shared" si="1"/>
        <v>7.822847682119205E-2</v>
      </c>
      <c r="I20">
        <f t="shared" si="2"/>
        <v>6.5190397350993372E-3</v>
      </c>
    </row>
    <row r="21" spans="1:27" ht="18" x14ac:dyDescent="0.35">
      <c r="A21" t="s">
        <v>13</v>
      </c>
      <c r="B21" t="s">
        <v>6</v>
      </c>
      <c r="C21">
        <v>1</v>
      </c>
      <c r="D21">
        <v>100</v>
      </c>
      <c r="E21">
        <v>1.4300000000000001E-4</v>
      </c>
      <c r="F21">
        <v>0</v>
      </c>
      <c r="G21">
        <f t="shared" si="0"/>
        <v>1.4300000000000001E-4</v>
      </c>
      <c r="H21">
        <f t="shared" si="1"/>
        <v>1</v>
      </c>
      <c r="I21">
        <f t="shared" si="2"/>
        <v>1</v>
      </c>
      <c r="Q21" s="1" t="s">
        <v>16</v>
      </c>
      <c r="AA21" s="1" t="s">
        <v>30</v>
      </c>
    </row>
    <row r="22" spans="1:27" x14ac:dyDescent="0.3">
      <c r="A22" t="s">
        <v>13</v>
      </c>
      <c r="B22" t="s">
        <v>6</v>
      </c>
      <c r="C22">
        <v>2</v>
      </c>
      <c r="D22">
        <v>100</v>
      </c>
      <c r="E22">
        <v>1.2639999999999999E-3</v>
      </c>
      <c r="F22">
        <v>0</v>
      </c>
      <c r="G22">
        <f t="shared" si="0"/>
        <v>1.4300000000000001E-4</v>
      </c>
      <c r="H22">
        <f t="shared" si="1"/>
        <v>0.11313291139240507</v>
      </c>
      <c r="I22">
        <f t="shared" si="2"/>
        <v>5.6566455696202535E-2</v>
      </c>
    </row>
    <row r="23" spans="1:27" x14ac:dyDescent="0.3">
      <c r="A23" t="s">
        <v>13</v>
      </c>
      <c r="B23" t="s">
        <v>6</v>
      </c>
      <c r="C23">
        <v>4</v>
      </c>
      <c r="D23">
        <v>100</v>
      </c>
      <c r="E23">
        <v>5.62E-4</v>
      </c>
      <c r="F23">
        <v>0</v>
      </c>
      <c r="G23">
        <f t="shared" si="0"/>
        <v>1.4300000000000001E-4</v>
      </c>
      <c r="H23">
        <f t="shared" si="1"/>
        <v>0.25444839857651247</v>
      </c>
      <c r="I23">
        <f t="shared" si="2"/>
        <v>6.3612099644128117E-2</v>
      </c>
    </row>
    <row r="24" spans="1:27" x14ac:dyDescent="0.3">
      <c r="A24" t="s">
        <v>13</v>
      </c>
      <c r="B24" t="s">
        <v>6</v>
      </c>
      <c r="C24">
        <v>6</v>
      </c>
      <c r="D24">
        <v>100</v>
      </c>
      <c r="E24">
        <v>0.23582800000000001</v>
      </c>
      <c r="F24">
        <v>5</v>
      </c>
      <c r="G24">
        <f t="shared" si="0"/>
        <v>1.4300000000000001E-4</v>
      </c>
      <c r="H24">
        <f t="shared" si="1"/>
        <v>6.0637413708295872E-4</v>
      </c>
      <c r="I24">
        <f t="shared" si="2"/>
        <v>1.0106235618049312E-4</v>
      </c>
    </row>
    <row r="25" spans="1:27" x14ac:dyDescent="0.3">
      <c r="A25" t="s">
        <v>13</v>
      </c>
      <c r="B25" t="s">
        <v>6</v>
      </c>
      <c r="C25">
        <v>8</v>
      </c>
      <c r="D25">
        <v>100</v>
      </c>
      <c r="E25">
        <v>0.61278600000000005</v>
      </c>
      <c r="F25">
        <v>5</v>
      </c>
      <c r="G25">
        <f t="shared" si="0"/>
        <v>1.4300000000000001E-4</v>
      </c>
      <c r="H25">
        <f t="shared" si="1"/>
        <v>2.3336042272506226E-4</v>
      </c>
      <c r="I25">
        <f t="shared" si="2"/>
        <v>2.9170052840632782E-5</v>
      </c>
    </row>
    <row r="26" spans="1:27" x14ac:dyDescent="0.3">
      <c r="A26" t="s">
        <v>13</v>
      </c>
      <c r="B26" t="s">
        <v>6</v>
      </c>
      <c r="C26">
        <v>10</v>
      </c>
      <c r="D26">
        <v>100</v>
      </c>
      <c r="E26">
        <v>1.0482389999999999</v>
      </c>
      <c r="F26">
        <v>9</v>
      </c>
      <c r="G26">
        <f t="shared" si="0"/>
        <v>1.4300000000000001E-4</v>
      </c>
      <c r="H26">
        <f t="shared" si="1"/>
        <v>1.3641927079606847E-4</v>
      </c>
      <c r="I26">
        <f t="shared" si="2"/>
        <v>1.3641927079606846E-5</v>
      </c>
    </row>
    <row r="27" spans="1:27" x14ac:dyDescent="0.3">
      <c r="A27" t="s">
        <v>13</v>
      </c>
      <c r="B27" t="s">
        <v>6</v>
      </c>
      <c r="C27">
        <v>12</v>
      </c>
      <c r="D27">
        <v>100</v>
      </c>
      <c r="E27">
        <v>0.26983400000000002</v>
      </c>
      <c r="F27">
        <v>9</v>
      </c>
      <c r="G27">
        <f t="shared" si="0"/>
        <v>1.4300000000000001E-4</v>
      </c>
      <c r="H27">
        <f t="shared" si="1"/>
        <v>5.2995545409399855E-4</v>
      </c>
      <c r="I27">
        <f t="shared" si="2"/>
        <v>4.4162954507833214E-5</v>
      </c>
    </row>
    <row r="28" spans="1:27" x14ac:dyDescent="0.3">
      <c r="A28" t="s">
        <v>13</v>
      </c>
      <c r="B28" t="s">
        <v>6</v>
      </c>
      <c r="C28">
        <v>16</v>
      </c>
      <c r="D28">
        <v>100</v>
      </c>
      <c r="E28">
        <v>1.6486590000000001</v>
      </c>
      <c r="F28">
        <v>15</v>
      </c>
      <c r="G28">
        <f t="shared" si="0"/>
        <v>1.4300000000000001E-4</v>
      </c>
      <c r="H28">
        <f t="shared" si="1"/>
        <v>8.6737160322419613E-5</v>
      </c>
      <c r="I28">
        <f t="shared" si="2"/>
        <v>5.4210725201512258E-6</v>
      </c>
    </row>
    <row r="29" spans="1:27" x14ac:dyDescent="0.3">
      <c r="A29" t="s">
        <v>13</v>
      </c>
      <c r="B29" t="s">
        <v>6</v>
      </c>
      <c r="C29">
        <v>20</v>
      </c>
      <c r="D29">
        <v>100</v>
      </c>
      <c r="E29">
        <v>2.9245399999999999</v>
      </c>
      <c r="F29">
        <v>5</v>
      </c>
      <c r="G29">
        <f t="shared" si="0"/>
        <v>1.4300000000000001E-4</v>
      </c>
      <c r="H29">
        <f t="shared" si="1"/>
        <v>4.8896578607233964E-5</v>
      </c>
      <c r="I29">
        <f t="shared" si="2"/>
        <v>2.4448289303616983E-6</v>
      </c>
    </row>
    <row r="30" spans="1:27" x14ac:dyDescent="0.3">
      <c r="A30" t="s">
        <v>13</v>
      </c>
      <c r="B30" t="s">
        <v>6</v>
      </c>
      <c r="C30">
        <v>24</v>
      </c>
      <c r="D30">
        <v>100</v>
      </c>
      <c r="E30">
        <v>2.829469</v>
      </c>
      <c r="F30">
        <v>23</v>
      </c>
      <c r="G30">
        <f t="shared" si="0"/>
        <v>1.4300000000000001E-4</v>
      </c>
      <c r="H30">
        <f t="shared" si="1"/>
        <v>5.0539518192282722E-5</v>
      </c>
      <c r="I30">
        <f t="shared" si="2"/>
        <v>2.1058132580117799E-6</v>
      </c>
    </row>
    <row r="31" spans="1:27" x14ac:dyDescent="0.3">
      <c r="A31" t="s">
        <v>13</v>
      </c>
      <c r="B31" t="s">
        <v>6</v>
      </c>
      <c r="C31">
        <v>28</v>
      </c>
      <c r="D31">
        <v>100</v>
      </c>
      <c r="E31">
        <v>5.6938089999999999</v>
      </c>
      <c r="F31">
        <v>27</v>
      </c>
      <c r="G31">
        <f t="shared" si="0"/>
        <v>1.4300000000000001E-4</v>
      </c>
      <c r="H31">
        <f t="shared" si="1"/>
        <v>2.5114997710671364E-5</v>
      </c>
      <c r="I31">
        <f t="shared" si="2"/>
        <v>8.9696420395254869E-7</v>
      </c>
    </row>
    <row r="32" spans="1:27" x14ac:dyDescent="0.3">
      <c r="A32" t="s">
        <v>13</v>
      </c>
      <c r="B32" t="s">
        <v>6</v>
      </c>
      <c r="C32">
        <v>32</v>
      </c>
      <c r="D32">
        <v>100</v>
      </c>
      <c r="E32">
        <v>7.6813989999999999</v>
      </c>
      <c r="F32">
        <v>7</v>
      </c>
      <c r="G32">
        <f t="shared" si="0"/>
        <v>1.4300000000000001E-4</v>
      </c>
      <c r="H32">
        <f t="shared" si="1"/>
        <v>1.8616400476007041E-5</v>
      </c>
      <c r="I32">
        <f t="shared" si="2"/>
        <v>5.8176251487522004E-7</v>
      </c>
    </row>
    <row r="33" spans="1:9" x14ac:dyDescent="0.3">
      <c r="A33" t="s">
        <v>14</v>
      </c>
      <c r="B33" t="s">
        <v>6</v>
      </c>
      <c r="C33">
        <v>1</v>
      </c>
      <c r="D33">
        <v>100</v>
      </c>
      <c r="E33">
        <v>1.9900000000000001E-4</v>
      </c>
      <c r="F33">
        <v>0</v>
      </c>
      <c r="G33">
        <f t="shared" si="0"/>
        <v>1.9900000000000001E-4</v>
      </c>
      <c r="H33">
        <f t="shared" si="1"/>
        <v>1</v>
      </c>
      <c r="I33">
        <f t="shared" si="2"/>
        <v>1</v>
      </c>
    </row>
    <row r="34" spans="1:9" x14ac:dyDescent="0.3">
      <c r="A34" t="s">
        <v>14</v>
      </c>
      <c r="B34" t="s">
        <v>6</v>
      </c>
      <c r="C34">
        <v>2</v>
      </c>
      <c r="D34">
        <v>100</v>
      </c>
      <c r="E34">
        <v>4.6799999999999999E-4</v>
      </c>
      <c r="F34">
        <v>1</v>
      </c>
      <c r="G34">
        <f t="shared" ref="G34:G65" si="3">IF(COUNTIFS($A$2:$A$162, A34, $B$2:$B$162, B34, $C$2:$C$162, 1)&gt;0, AVERAGEIFS($E$2:$E$162, $A$2:$A$162, A34, $B$2:$B$162, B34, $C$2:$C$162, 1), _xlfn.MINIFS($E$2:$E$162, $A$2:$A$162, A34, $B$2:$B$162, B34))</f>
        <v>1.9900000000000001E-4</v>
      </c>
      <c r="H34">
        <f t="shared" ref="H34:H65" si="4" xml:space="preserve"> G34 / E34</f>
        <v>0.42521367521367526</v>
      </c>
      <c r="I34">
        <f t="shared" ref="I34:I65" si="5">H34 / C34</f>
        <v>0.21260683760683763</v>
      </c>
    </row>
    <row r="35" spans="1:9" x14ac:dyDescent="0.3">
      <c r="A35" t="s">
        <v>14</v>
      </c>
      <c r="B35" t="s">
        <v>6</v>
      </c>
      <c r="C35">
        <v>4</v>
      </c>
      <c r="D35">
        <v>100</v>
      </c>
      <c r="E35">
        <v>1.653E-3</v>
      </c>
      <c r="F35">
        <v>2</v>
      </c>
      <c r="G35">
        <f t="shared" si="3"/>
        <v>1.9900000000000001E-4</v>
      </c>
      <c r="H35">
        <f t="shared" si="4"/>
        <v>0.12038717483363583</v>
      </c>
      <c r="I35">
        <f t="shared" si="5"/>
        <v>3.0096793708408957E-2</v>
      </c>
    </row>
    <row r="36" spans="1:9" x14ac:dyDescent="0.3">
      <c r="A36" t="s">
        <v>14</v>
      </c>
      <c r="B36" t="s">
        <v>6</v>
      </c>
      <c r="C36">
        <v>6</v>
      </c>
      <c r="D36">
        <v>100</v>
      </c>
      <c r="E36">
        <v>2.5509999999999999E-3</v>
      </c>
      <c r="F36">
        <v>5</v>
      </c>
      <c r="G36">
        <f t="shared" si="3"/>
        <v>1.9900000000000001E-4</v>
      </c>
      <c r="H36">
        <f t="shared" si="4"/>
        <v>7.800862406899256E-2</v>
      </c>
      <c r="I36">
        <f t="shared" si="5"/>
        <v>1.3001437344832093E-2</v>
      </c>
    </row>
    <row r="37" spans="1:9" x14ac:dyDescent="0.3">
      <c r="A37" t="s">
        <v>14</v>
      </c>
      <c r="B37" t="s">
        <v>6</v>
      </c>
      <c r="C37">
        <v>8</v>
      </c>
      <c r="D37">
        <v>100</v>
      </c>
      <c r="E37">
        <v>3.238E-3</v>
      </c>
      <c r="F37">
        <v>6</v>
      </c>
      <c r="G37">
        <f t="shared" si="3"/>
        <v>1.9900000000000001E-4</v>
      </c>
      <c r="H37">
        <f t="shared" si="4"/>
        <v>6.145768993205683E-2</v>
      </c>
      <c r="I37">
        <f t="shared" si="5"/>
        <v>7.6822112415071038E-3</v>
      </c>
    </row>
    <row r="38" spans="1:9" x14ac:dyDescent="0.3">
      <c r="A38" t="s">
        <v>14</v>
      </c>
      <c r="B38" t="s">
        <v>6</v>
      </c>
      <c r="C38">
        <v>10</v>
      </c>
      <c r="D38">
        <v>100</v>
      </c>
      <c r="E38">
        <v>3.4280000000000001E-3</v>
      </c>
      <c r="F38">
        <v>9</v>
      </c>
      <c r="G38">
        <f t="shared" si="3"/>
        <v>1.9900000000000001E-4</v>
      </c>
      <c r="H38">
        <f t="shared" si="4"/>
        <v>5.8051341890315057E-2</v>
      </c>
      <c r="I38">
        <f t="shared" si="5"/>
        <v>5.8051341890315057E-3</v>
      </c>
    </row>
    <row r="39" spans="1:9" x14ac:dyDescent="0.3">
      <c r="A39" t="s">
        <v>14</v>
      </c>
      <c r="B39" t="s">
        <v>6</v>
      </c>
      <c r="C39">
        <v>12</v>
      </c>
      <c r="D39">
        <v>100</v>
      </c>
      <c r="E39">
        <v>1.6919999999999999E-3</v>
      </c>
      <c r="F39">
        <v>2</v>
      </c>
      <c r="G39">
        <f t="shared" si="3"/>
        <v>1.9900000000000001E-4</v>
      </c>
      <c r="H39">
        <f t="shared" si="4"/>
        <v>0.11761229314420805</v>
      </c>
      <c r="I39">
        <f t="shared" si="5"/>
        <v>9.8010244286840052E-3</v>
      </c>
    </row>
    <row r="40" spans="1:9" x14ac:dyDescent="0.3">
      <c r="A40" t="s">
        <v>13</v>
      </c>
      <c r="B40" t="s">
        <v>5</v>
      </c>
      <c r="C40">
        <v>1</v>
      </c>
      <c r="D40">
        <v>100</v>
      </c>
      <c r="E40">
        <v>0.27409499999999998</v>
      </c>
      <c r="F40">
        <v>0</v>
      </c>
      <c r="G40">
        <f t="shared" si="3"/>
        <v>0.27409499999999998</v>
      </c>
      <c r="H40">
        <f t="shared" si="4"/>
        <v>1</v>
      </c>
      <c r="I40">
        <f t="shared" si="5"/>
        <v>1</v>
      </c>
    </row>
    <row r="41" spans="1:9" x14ac:dyDescent="0.3">
      <c r="A41" t="s">
        <v>13</v>
      </c>
      <c r="B41" t="s">
        <v>5</v>
      </c>
      <c r="C41">
        <v>2</v>
      </c>
      <c r="D41">
        <v>100</v>
      </c>
      <c r="E41">
        <v>0.27943899999999999</v>
      </c>
      <c r="F41">
        <v>0</v>
      </c>
      <c r="G41">
        <f t="shared" si="3"/>
        <v>0.27409499999999998</v>
      </c>
      <c r="H41">
        <f t="shared" si="4"/>
        <v>0.98087596935288202</v>
      </c>
      <c r="I41">
        <f t="shared" si="5"/>
        <v>0.49043798467644101</v>
      </c>
    </row>
    <row r="42" spans="1:9" x14ac:dyDescent="0.3">
      <c r="A42" t="s">
        <v>13</v>
      </c>
      <c r="B42" t="s">
        <v>5</v>
      </c>
      <c r="C42">
        <v>4</v>
      </c>
      <c r="D42">
        <v>100</v>
      </c>
      <c r="E42">
        <v>0.27457700000000002</v>
      </c>
      <c r="F42">
        <v>0</v>
      </c>
      <c r="G42">
        <f t="shared" si="3"/>
        <v>0.27409499999999998</v>
      </c>
      <c r="H42">
        <f t="shared" si="4"/>
        <v>0.99824457256070231</v>
      </c>
      <c r="I42">
        <f t="shared" si="5"/>
        <v>0.24956114314017558</v>
      </c>
    </row>
    <row r="43" spans="1:9" x14ac:dyDescent="0.3">
      <c r="A43" t="s">
        <v>13</v>
      </c>
      <c r="B43" t="s">
        <v>5</v>
      </c>
      <c r="C43">
        <v>6</v>
      </c>
      <c r="D43">
        <v>100</v>
      </c>
      <c r="E43">
        <v>0.39818999999999999</v>
      </c>
      <c r="F43">
        <v>0</v>
      </c>
      <c r="G43">
        <f t="shared" si="3"/>
        <v>0.27409499999999998</v>
      </c>
      <c r="H43">
        <f t="shared" si="4"/>
        <v>0.68835229413094245</v>
      </c>
      <c r="I43">
        <f t="shared" si="5"/>
        <v>0.11472538235515707</v>
      </c>
    </row>
    <row r="44" spans="1:9" x14ac:dyDescent="0.3">
      <c r="A44" t="s">
        <v>13</v>
      </c>
      <c r="B44" t="s">
        <v>5</v>
      </c>
      <c r="C44">
        <v>8</v>
      </c>
      <c r="D44">
        <v>100</v>
      </c>
      <c r="E44">
        <v>0.30959199999999998</v>
      </c>
      <c r="F44">
        <v>5</v>
      </c>
      <c r="G44">
        <f t="shared" si="3"/>
        <v>0.27409499999999998</v>
      </c>
      <c r="H44">
        <f t="shared" si="4"/>
        <v>0.88534264451277811</v>
      </c>
      <c r="I44">
        <f t="shared" si="5"/>
        <v>0.11066783056409726</v>
      </c>
    </row>
    <row r="45" spans="1:9" x14ac:dyDescent="0.3">
      <c r="A45" t="s">
        <v>13</v>
      </c>
      <c r="B45" t="s">
        <v>5</v>
      </c>
      <c r="C45">
        <v>10</v>
      </c>
      <c r="D45">
        <v>100</v>
      </c>
      <c r="E45">
        <v>0.88361400000000001</v>
      </c>
      <c r="F45">
        <v>0</v>
      </c>
      <c r="G45">
        <f t="shared" si="3"/>
        <v>0.27409499999999998</v>
      </c>
      <c r="H45">
        <f t="shared" si="4"/>
        <v>0.31019766549647243</v>
      </c>
      <c r="I45">
        <f t="shared" si="5"/>
        <v>3.1019766549647242E-2</v>
      </c>
    </row>
    <row r="46" spans="1:9" x14ac:dyDescent="0.3">
      <c r="A46" t="s">
        <v>13</v>
      </c>
      <c r="B46" t="s">
        <v>5</v>
      </c>
      <c r="C46">
        <v>12</v>
      </c>
      <c r="D46">
        <v>100</v>
      </c>
      <c r="E46">
        <v>0.89316300000000004</v>
      </c>
      <c r="F46">
        <v>0</v>
      </c>
      <c r="G46">
        <f t="shared" si="3"/>
        <v>0.27409499999999998</v>
      </c>
      <c r="H46">
        <f t="shared" si="4"/>
        <v>0.3068812747505214</v>
      </c>
      <c r="I46">
        <f t="shared" si="5"/>
        <v>2.5573439562543449E-2</v>
      </c>
    </row>
    <row r="47" spans="1:9" x14ac:dyDescent="0.3">
      <c r="A47" t="s">
        <v>13</v>
      </c>
      <c r="B47" t="s">
        <v>5</v>
      </c>
      <c r="C47">
        <v>16</v>
      </c>
      <c r="D47">
        <v>100</v>
      </c>
      <c r="E47">
        <v>1.2307779999999999</v>
      </c>
      <c r="F47">
        <v>7</v>
      </c>
      <c r="G47">
        <f t="shared" si="3"/>
        <v>0.27409499999999998</v>
      </c>
      <c r="H47">
        <f t="shared" si="4"/>
        <v>0.2227006007582196</v>
      </c>
      <c r="I47">
        <f t="shared" si="5"/>
        <v>1.3918787547388725E-2</v>
      </c>
    </row>
    <row r="48" spans="1:9" x14ac:dyDescent="0.3">
      <c r="A48" t="s">
        <v>13</v>
      </c>
      <c r="B48" t="s">
        <v>5</v>
      </c>
      <c r="C48">
        <v>20</v>
      </c>
      <c r="D48">
        <v>100</v>
      </c>
      <c r="E48">
        <v>1.9256850000000001</v>
      </c>
      <c r="F48">
        <v>18</v>
      </c>
      <c r="G48">
        <f t="shared" si="3"/>
        <v>0.27409499999999998</v>
      </c>
      <c r="H48">
        <f t="shared" si="4"/>
        <v>0.14233636342392444</v>
      </c>
      <c r="I48">
        <f t="shared" si="5"/>
        <v>7.1168181711962226E-3</v>
      </c>
    </row>
    <row r="49" spans="1:9" x14ac:dyDescent="0.3">
      <c r="A49" t="s">
        <v>13</v>
      </c>
      <c r="B49" t="s">
        <v>5</v>
      </c>
      <c r="C49">
        <v>24</v>
      </c>
      <c r="D49">
        <v>100</v>
      </c>
      <c r="E49">
        <v>5.9041569999999997</v>
      </c>
      <c r="F49">
        <v>5</v>
      </c>
      <c r="G49">
        <f t="shared" si="3"/>
        <v>0.27409499999999998</v>
      </c>
      <c r="H49">
        <f t="shared" si="4"/>
        <v>4.6424070362627551E-2</v>
      </c>
      <c r="I49">
        <f t="shared" si="5"/>
        <v>1.9343362651094813E-3</v>
      </c>
    </row>
    <row r="50" spans="1:9" x14ac:dyDescent="0.3">
      <c r="A50" t="s">
        <v>13</v>
      </c>
      <c r="B50" t="s">
        <v>5</v>
      </c>
      <c r="C50">
        <v>28</v>
      </c>
      <c r="D50">
        <v>100</v>
      </c>
      <c r="E50">
        <v>6.3206329999999999</v>
      </c>
      <c r="F50">
        <v>7</v>
      </c>
      <c r="G50">
        <f t="shared" si="3"/>
        <v>0.27409499999999998</v>
      </c>
      <c r="H50">
        <f t="shared" si="4"/>
        <v>4.3365118651881855E-2</v>
      </c>
      <c r="I50">
        <f t="shared" si="5"/>
        <v>1.548754237567209E-3</v>
      </c>
    </row>
    <row r="51" spans="1:9" x14ac:dyDescent="0.3">
      <c r="A51" t="s">
        <v>13</v>
      </c>
      <c r="B51" t="s">
        <v>5</v>
      </c>
      <c r="C51">
        <v>32</v>
      </c>
      <c r="D51">
        <v>100</v>
      </c>
      <c r="E51">
        <v>6.208812</v>
      </c>
      <c r="F51">
        <v>11</v>
      </c>
      <c r="G51">
        <f t="shared" si="3"/>
        <v>0.27409499999999998</v>
      </c>
      <c r="H51">
        <f t="shared" si="4"/>
        <v>4.4146126505360442E-2</v>
      </c>
      <c r="I51">
        <f t="shared" si="5"/>
        <v>1.3795664532925138E-3</v>
      </c>
    </row>
    <row r="52" spans="1:9" x14ac:dyDescent="0.3">
      <c r="A52" t="s">
        <v>14</v>
      </c>
      <c r="B52" t="s">
        <v>5</v>
      </c>
      <c r="C52">
        <v>1</v>
      </c>
      <c r="D52">
        <v>100</v>
      </c>
      <c r="E52">
        <v>0.202072</v>
      </c>
      <c r="F52">
        <v>0</v>
      </c>
      <c r="G52">
        <f t="shared" si="3"/>
        <v>0.202072</v>
      </c>
      <c r="H52">
        <f t="shared" si="4"/>
        <v>1</v>
      </c>
      <c r="I52">
        <f t="shared" si="5"/>
        <v>1</v>
      </c>
    </row>
    <row r="53" spans="1:9" x14ac:dyDescent="0.3">
      <c r="A53" t="s">
        <v>14</v>
      </c>
      <c r="B53" t="s">
        <v>5</v>
      </c>
      <c r="C53">
        <v>2</v>
      </c>
      <c r="D53">
        <v>100</v>
      </c>
      <c r="E53">
        <v>0.21520500000000001</v>
      </c>
      <c r="F53">
        <v>0</v>
      </c>
      <c r="G53">
        <f t="shared" si="3"/>
        <v>0.202072</v>
      </c>
      <c r="H53">
        <f t="shared" si="4"/>
        <v>0.93897446620664016</v>
      </c>
      <c r="I53">
        <f t="shared" si="5"/>
        <v>0.46948723310332008</v>
      </c>
    </row>
    <row r="54" spans="1:9" x14ac:dyDescent="0.3">
      <c r="A54" t="s">
        <v>14</v>
      </c>
      <c r="B54" t="s">
        <v>5</v>
      </c>
      <c r="C54">
        <v>4</v>
      </c>
      <c r="D54">
        <v>100</v>
      </c>
      <c r="E54">
        <v>0.25712000000000002</v>
      </c>
      <c r="F54">
        <v>0</v>
      </c>
      <c r="G54">
        <f t="shared" si="3"/>
        <v>0.202072</v>
      </c>
      <c r="H54">
        <f t="shared" si="4"/>
        <v>0.78590541381456125</v>
      </c>
      <c r="I54">
        <f t="shared" si="5"/>
        <v>0.19647635345364031</v>
      </c>
    </row>
    <row r="55" spans="1:9" x14ac:dyDescent="0.3">
      <c r="A55" t="s">
        <v>14</v>
      </c>
      <c r="B55" t="s">
        <v>5</v>
      </c>
      <c r="C55">
        <v>6</v>
      </c>
      <c r="D55">
        <v>100</v>
      </c>
      <c r="E55">
        <v>0.24959799999999999</v>
      </c>
      <c r="F55">
        <v>0</v>
      </c>
      <c r="G55">
        <f t="shared" si="3"/>
        <v>0.202072</v>
      </c>
      <c r="H55">
        <f t="shared" si="4"/>
        <v>0.80958982043125349</v>
      </c>
      <c r="I55">
        <f t="shared" si="5"/>
        <v>0.13493163673854225</v>
      </c>
    </row>
    <row r="56" spans="1:9" x14ac:dyDescent="0.3">
      <c r="A56" t="s">
        <v>14</v>
      </c>
      <c r="B56" t="s">
        <v>5</v>
      </c>
      <c r="C56">
        <v>8</v>
      </c>
      <c r="D56">
        <v>100</v>
      </c>
      <c r="E56">
        <v>0.26529900000000001</v>
      </c>
      <c r="F56">
        <v>0</v>
      </c>
      <c r="G56">
        <f t="shared" si="3"/>
        <v>0.202072</v>
      </c>
      <c r="H56">
        <f t="shared" si="4"/>
        <v>0.76167644808310619</v>
      </c>
      <c r="I56">
        <f t="shared" si="5"/>
        <v>9.5209556010388274E-2</v>
      </c>
    </row>
    <row r="57" spans="1:9" x14ac:dyDescent="0.3">
      <c r="A57" t="s">
        <v>14</v>
      </c>
      <c r="B57" t="s">
        <v>5</v>
      </c>
      <c r="C57">
        <v>10</v>
      </c>
      <c r="D57">
        <v>100</v>
      </c>
      <c r="E57">
        <v>0.28023399999999998</v>
      </c>
      <c r="F57">
        <v>0</v>
      </c>
      <c r="G57">
        <f t="shared" si="3"/>
        <v>0.202072</v>
      </c>
      <c r="H57">
        <f t="shared" si="4"/>
        <v>0.7210830948421677</v>
      </c>
      <c r="I57">
        <f t="shared" si="5"/>
        <v>7.2108309484216773E-2</v>
      </c>
    </row>
    <row r="58" spans="1:9" x14ac:dyDescent="0.3">
      <c r="A58" t="s">
        <v>14</v>
      </c>
      <c r="B58" t="s">
        <v>5</v>
      </c>
      <c r="C58">
        <v>12</v>
      </c>
      <c r="D58">
        <v>100</v>
      </c>
      <c r="E58">
        <v>0.299479</v>
      </c>
      <c r="F58">
        <v>0</v>
      </c>
      <c r="G58">
        <f t="shared" si="3"/>
        <v>0.202072</v>
      </c>
      <c r="H58">
        <f t="shared" si="4"/>
        <v>0.67474514072773051</v>
      </c>
      <c r="I58">
        <f t="shared" si="5"/>
        <v>5.6228761727310873E-2</v>
      </c>
    </row>
    <row r="59" spans="1:9" x14ac:dyDescent="0.3">
      <c r="A59" t="s">
        <v>13</v>
      </c>
      <c r="B59" t="s">
        <v>4</v>
      </c>
      <c r="C59">
        <v>1</v>
      </c>
      <c r="D59">
        <v>100</v>
      </c>
      <c r="E59">
        <v>1.1004510000000001</v>
      </c>
      <c r="F59">
        <v>0</v>
      </c>
      <c r="G59">
        <f t="shared" si="3"/>
        <v>1.1004510000000001</v>
      </c>
      <c r="H59">
        <f t="shared" si="4"/>
        <v>1</v>
      </c>
      <c r="I59">
        <f t="shared" si="5"/>
        <v>1</v>
      </c>
    </row>
    <row r="60" spans="1:9" x14ac:dyDescent="0.3">
      <c r="A60" t="s">
        <v>13</v>
      </c>
      <c r="B60" t="s">
        <v>4</v>
      </c>
      <c r="C60">
        <v>2</v>
      </c>
      <c r="D60">
        <v>100</v>
      </c>
      <c r="E60">
        <v>0.55031099999999999</v>
      </c>
      <c r="F60">
        <v>0</v>
      </c>
      <c r="G60">
        <f t="shared" si="3"/>
        <v>1.1004510000000001</v>
      </c>
      <c r="H60">
        <f t="shared" si="4"/>
        <v>1.9996892666146961</v>
      </c>
      <c r="I60">
        <f t="shared" si="5"/>
        <v>0.99984463330734807</v>
      </c>
    </row>
    <row r="61" spans="1:9" x14ac:dyDescent="0.3">
      <c r="A61" t="s">
        <v>13</v>
      </c>
      <c r="B61" t="s">
        <v>4</v>
      </c>
      <c r="C61">
        <v>4</v>
      </c>
      <c r="D61">
        <v>100</v>
      </c>
      <c r="E61">
        <v>0.55181800000000003</v>
      </c>
      <c r="F61">
        <v>1</v>
      </c>
      <c r="G61">
        <f t="shared" si="3"/>
        <v>1.1004510000000001</v>
      </c>
      <c r="H61">
        <f t="shared" si="4"/>
        <v>1.9942281694326753</v>
      </c>
      <c r="I61">
        <f t="shared" si="5"/>
        <v>0.49855704235816883</v>
      </c>
    </row>
    <row r="62" spans="1:9" x14ac:dyDescent="0.3">
      <c r="A62" t="s">
        <v>13</v>
      </c>
      <c r="B62" t="s">
        <v>4</v>
      </c>
      <c r="C62">
        <v>6</v>
      </c>
      <c r="D62">
        <v>100</v>
      </c>
      <c r="E62">
        <v>1.7688759999999999</v>
      </c>
      <c r="F62">
        <v>1</v>
      </c>
      <c r="G62">
        <f t="shared" si="3"/>
        <v>1.1004510000000001</v>
      </c>
      <c r="H62">
        <f t="shared" si="4"/>
        <v>0.62211879182034246</v>
      </c>
      <c r="I62">
        <f t="shared" si="5"/>
        <v>0.10368646530339042</v>
      </c>
    </row>
    <row r="63" spans="1:9" x14ac:dyDescent="0.3">
      <c r="A63" t="s">
        <v>13</v>
      </c>
      <c r="B63" t="s">
        <v>4</v>
      </c>
      <c r="C63">
        <v>8</v>
      </c>
      <c r="D63">
        <v>100</v>
      </c>
      <c r="E63">
        <v>1.226048</v>
      </c>
      <c r="F63">
        <v>0</v>
      </c>
      <c r="G63">
        <f t="shared" si="3"/>
        <v>1.1004510000000001</v>
      </c>
      <c r="H63">
        <f t="shared" si="4"/>
        <v>0.89755947564858807</v>
      </c>
      <c r="I63">
        <f t="shared" si="5"/>
        <v>0.11219493445607351</v>
      </c>
    </row>
    <row r="64" spans="1:9" x14ac:dyDescent="0.3">
      <c r="A64" t="s">
        <v>13</v>
      </c>
      <c r="B64" t="s">
        <v>4</v>
      </c>
      <c r="C64">
        <v>10</v>
      </c>
      <c r="D64">
        <v>100</v>
      </c>
      <c r="E64">
        <v>2.9184939999999999</v>
      </c>
      <c r="F64">
        <v>0</v>
      </c>
      <c r="G64">
        <f t="shared" si="3"/>
        <v>1.1004510000000001</v>
      </c>
      <c r="H64">
        <f t="shared" si="4"/>
        <v>0.37706125145366071</v>
      </c>
      <c r="I64">
        <f t="shared" si="5"/>
        <v>3.7706125145366073E-2</v>
      </c>
    </row>
    <row r="65" spans="1:9" x14ac:dyDescent="0.3">
      <c r="A65" t="s">
        <v>13</v>
      </c>
      <c r="B65" t="s">
        <v>4</v>
      </c>
      <c r="C65">
        <v>12</v>
      </c>
      <c r="D65">
        <v>100</v>
      </c>
      <c r="E65">
        <v>3.50597</v>
      </c>
      <c r="F65">
        <v>1</v>
      </c>
      <c r="G65">
        <f t="shared" si="3"/>
        <v>1.1004510000000001</v>
      </c>
      <c r="H65">
        <f t="shared" si="4"/>
        <v>0.31387918322176178</v>
      </c>
      <c r="I65">
        <f t="shared" si="5"/>
        <v>2.6156598601813481E-2</v>
      </c>
    </row>
    <row r="66" spans="1:9" x14ac:dyDescent="0.3">
      <c r="A66" t="s">
        <v>13</v>
      </c>
      <c r="B66" t="s">
        <v>4</v>
      </c>
      <c r="C66">
        <v>16</v>
      </c>
      <c r="D66">
        <v>100</v>
      </c>
      <c r="E66">
        <v>6.6734330000000002</v>
      </c>
      <c r="F66">
        <v>0</v>
      </c>
      <c r="G66">
        <f t="shared" ref="G66:G97" si="6">IF(COUNTIFS($A$2:$A$162, A66, $B$2:$B$162, B66, $C$2:$C$162, 1)&gt;0, AVERAGEIFS($E$2:$E$162, $A$2:$A$162, A66, $B$2:$B$162, B66, $C$2:$C$162, 1), _xlfn.MINIFS($E$2:$E$162, $A$2:$A$162, A66, $B$2:$B$162, B66))</f>
        <v>1.1004510000000001</v>
      </c>
      <c r="H66">
        <f t="shared" ref="H66:H97" si="7" xml:space="preserve"> G66 / E66</f>
        <v>0.1649002844562911</v>
      </c>
      <c r="I66">
        <f t="shared" ref="I66:I97" si="8">H66 / C66</f>
        <v>1.0306267778518194E-2</v>
      </c>
    </row>
    <row r="67" spans="1:9" x14ac:dyDescent="0.3">
      <c r="A67" t="s">
        <v>13</v>
      </c>
      <c r="B67" t="s">
        <v>4</v>
      </c>
      <c r="C67">
        <v>20</v>
      </c>
      <c r="D67">
        <v>100</v>
      </c>
      <c r="E67">
        <v>8.7864740000000001</v>
      </c>
      <c r="F67">
        <v>0</v>
      </c>
      <c r="G67">
        <f t="shared" si="6"/>
        <v>1.1004510000000001</v>
      </c>
      <c r="H67">
        <f t="shared" si="7"/>
        <v>0.12524375534486304</v>
      </c>
      <c r="I67">
        <f t="shared" si="8"/>
        <v>6.2621877672431516E-3</v>
      </c>
    </row>
    <row r="68" spans="1:9" x14ac:dyDescent="0.3">
      <c r="A68" t="s">
        <v>13</v>
      </c>
      <c r="B68" t="s">
        <v>4</v>
      </c>
      <c r="C68">
        <v>24</v>
      </c>
      <c r="D68">
        <v>100</v>
      </c>
      <c r="E68">
        <v>24.199109</v>
      </c>
      <c r="F68">
        <v>1</v>
      </c>
      <c r="G68">
        <f t="shared" si="6"/>
        <v>1.1004510000000001</v>
      </c>
      <c r="H68">
        <f t="shared" si="7"/>
        <v>4.5474856119702589E-2</v>
      </c>
      <c r="I68">
        <f t="shared" si="8"/>
        <v>1.8947856716542745E-3</v>
      </c>
    </row>
    <row r="69" spans="1:9" x14ac:dyDescent="0.3">
      <c r="A69" t="s">
        <v>13</v>
      </c>
      <c r="B69" t="s">
        <v>4</v>
      </c>
      <c r="C69">
        <v>28</v>
      </c>
      <c r="D69">
        <v>100</v>
      </c>
      <c r="E69">
        <v>27.362003999999999</v>
      </c>
      <c r="F69">
        <v>0</v>
      </c>
      <c r="G69">
        <f t="shared" si="6"/>
        <v>1.1004510000000001</v>
      </c>
      <c r="H69">
        <f t="shared" si="7"/>
        <v>4.021821647274082E-2</v>
      </c>
      <c r="I69">
        <f t="shared" si="8"/>
        <v>1.4363648740264578E-3</v>
      </c>
    </row>
    <row r="70" spans="1:9" x14ac:dyDescent="0.3">
      <c r="A70" t="s">
        <v>13</v>
      </c>
      <c r="B70" t="s">
        <v>4</v>
      </c>
      <c r="C70">
        <v>32</v>
      </c>
      <c r="D70">
        <v>100</v>
      </c>
      <c r="E70">
        <v>42.944927</v>
      </c>
      <c r="F70">
        <v>0</v>
      </c>
      <c r="G70">
        <f t="shared" si="6"/>
        <v>1.1004510000000001</v>
      </c>
      <c r="H70">
        <f t="shared" si="7"/>
        <v>2.562470300624798E-2</v>
      </c>
      <c r="I70">
        <f t="shared" si="8"/>
        <v>8.0077196894524937E-4</v>
      </c>
    </row>
    <row r="71" spans="1:9" x14ac:dyDescent="0.3">
      <c r="A71" t="s">
        <v>14</v>
      </c>
      <c r="B71" t="s">
        <v>4</v>
      </c>
      <c r="C71">
        <v>1</v>
      </c>
      <c r="D71">
        <v>100</v>
      </c>
      <c r="E71">
        <v>0.79893800000000004</v>
      </c>
      <c r="F71">
        <v>0</v>
      </c>
      <c r="G71">
        <f t="shared" si="6"/>
        <v>0.79893800000000004</v>
      </c>
      <c r="H71">
        <f t="shared" si="7"/>
        <v>1</v>
      </c>
      <c r="I71">
        <f t="shared" si="8"/>
        <v>1</v>
      </c>
    </row>
    <row r="72" spans="1:9" x14ac:dyDescent="0.3">
      <c r="A72" t="s">
        <v>14</v>
      </c>
      <c r="B72" t="s">
        <v>4</v>
      </c>
      <c r="C72">
        <v>2</v>
      </c>
      <c r="D72">
        <v>100</v>
      </c>
      <c r="E72">
        <v>0.45119700000000001</v>
      </c>
      <c r="F72">
        <v>1</v>
      </c>
      <c r="G72">
        <f t="shared" si="6"/>
        <v>0.79893800000000004</v>
      </c>
      <c r="H72">
        <f t="shared" si="7"/>
        <v>1.7707076953082579</v>
      </c>
      <c r="I72">
        <f t="shared" si="8"/>
        <v>0.88535384765412894</v>
      </c>
    </row>
    <row r="73" spans="1:9" x14ac:dyDescent="0.3">
      <c r="A73" t="s">
        <v>14</v>
      </c>
      <c r="B73" t="s">
        <v>4</v>
      </c>
      <c r="C73">
        <v>4</v>
      </c>
      <c r="D73">
        <v>100</v>
      </c>
      <c r="E73">
        <v>0.54662900000000003</v>
      </c>
      <c r="F73">
        <v>1</v>
      </c>
      <c r="G73">
        <f t="shared" si="6"/>
        <v>0.79893800000000004</v>
      </c>
      <c r="H73">
        <f t="shared" si="7"/>
        <v>1.4615726571404004</v>
      </c>
      <c r="I73">
        <f t="shared" si="8"/>
        <v>0.3653931642851001</v>
      </c>
    </row>
    <row r="74" spans="1:9" x14ac:dyDescent="0.3">
      <c r="A74" t="s">
        <v>14</v>
      </c>
      <c r="B74" t="s">
        <v>4</v>
      </c>
      <c r="C74">
        <v>6</v>
      </c>
      <c r="D74">
        <v>100</v>
      </c>
      <c r="E74">
        <v>0.55796900000000005</v>
      </c>
      <c r="F74">
        <v>0</v>
      </c>
      <c r="G74">
        <f t="shared" si="6"/>
        <v>0.79893800000000004</v>
      </c>
      <c r="H74">
        <f t="shared" si="7"/>
        <v>1.4318680786925437</v>
      </c>
      <c r="I74">
        <f t="shared" si="8"/>
        <v>0.23864467978209061</v>
      </c>
    </row>
    <row r="75" spans="1:9" x14ac:dyDescent="0.3">
      <c r="A75" t="s">
        <v>14</v>
      </c>
      <c r="B75" t="s">
        <v>4</v>
      </c>
      <c r="C75">
        <v>8</v>
      </c>
      <c r="D75">
        <v>100</v>
      </c>
      <c r="E75">
        <v>0.58786400000000005</v>
      </c>
      <c r="F75">
        <v>0</v>
      </c>
      <c r="G75">
        <f t="shared" si="6"/>
        <v>0.79893800000000004</v>
      </c>
      <c r="H75">
        <f t="shared" si="7"/>
        <v>1.3590524338962753</v>
      </c>
      <c r="I75">
        <f t="shared" si="8"/>
        <v>0.16988155423703441</v>
      </c>
    </row>
    <row r="76" spans="1:9" x14ac:dyDescent="0.3">
      <c r="A76" t="s">
        <v>14</v>
      </c>
      <c r="B76" t="s">
        <v>4</v>
      </c>
      <c r="C76">
        <v>10</v>
      </c>
      <c r="D76">
        <v>100</v>
      </c>
      <c r="E76">
        <v>0.61109599999999997</v>
      </c>
      <c r="F76">
        <v>1</v>
      </c>
      <c r="G76">
        <f t="shared" si="6"/>
        <v>0.79893800000000004</v>
      </c>
      <c r="H76">
        <f t="shared" si="7"/>
        <v>1.3073854189849059</v>
      </c>
      <c r="I76">
        <f t="shared" si="8"/>
        <v>0.1307385418984906</v>
      </c>
    </row>
    <row r="77" spans="1:9" x14ac:dyDescent="0.3">
      <c r="A77" t="s">
        <v>14</v>
      </c>
      <c r="B77" t="s">
        <v>4</v>
      </c>
      <c r="C77">
        <v>12</v>
      </c>
      <c r="D77">
        <v>100</v>
      </c>
      <c r="E77">
        <v>0.65263300000000002</v>
      </c>
      <c r="F77">
        <v>1</v>
      </c>
      <c r="G77">
        <f t="shared" si="6"/>
        <v>0.79893800000000004</v>
      </c>
      <c r="H77">
        <f t="shared" si="7"/>
        <v>1.2241765280027213</v>
      </c>
      <c r="I77">
        <f t="shared" si="8"/>
        <v>0.10201471066689344</v>
      </c>
    </row>
    <row r="78" spans="1:9" x14ac:dyDescent="0.3">
      <c r="A78" t="s">
        <v>13</v>
      </c>
      <c r="B78" t="s">
        <v>3</v>
      </c>
      <c r="C78">
        <v>1</v>
      </c>
      <c r="D78">
        <v>100</v>
      </c>
      <c r="E78">
        <v>4.3786509999999996</v>
      </c>
      <c r="F78">
        <v>0</v>
      </c>
      <c r="G78">
        <f t="shared" si="6"/>
        <v>4.3786509999999996</v>
      </c>
      <c r="H78">
        <f t="shared" si="7"/>
        <v>1</v>
      </c>
      <c r="I78">
        <f t="shared" si="8"/>
        <v>1</v>
      </c>
    </row>
    <row r="79" spans="1:9" x14ac:dyDescent="0.3">
      <c r="A79" t="s">
        <v>13</v>
      </c>
      <c r="B79" t="s">
        <v>3</v>
      </c>
      <c r="C79">
        <v>2</v>
      </c>
      <c r="D79">
        <v>100</v>
      </c>
      <c r="E79">
        <v>2.1969069999999999</v>
      </c>
      <c r="F79">
        <v>0</v>
      </c>
      <c r="G79">
        <f t="shared" si="6"/>
        <v>4.3786509999999996</v>
      </c>
      <c r="H79">
        <f t="shared" si="7"/>
        <v>1.9930980237215321</v>
      </c>
      <c r="I79">
        <f t="shared" si="8"/>
        <v>0.99654901186076605</v>
      </c>
    </row>
    <row r="80" spans="1:9" x14ac:dyDescent="0.3">
      <c r="A80" t="s">
        <v>13</v>
      </c>
      <c r="B80" t="s">
        <v>3</v>
      </c>
      <c r="C80">
        <v>4</v>
      </c>
      <c r="D80">
        <v>100</v>
      </c>
      <c r="E80">
        <v>1.110846</v>
      </c>
      <c r="F80">
        <v>0</v>
      </c>
      <c r="G80">
        <f t="shared" si="6"/>
        <v>4.3786509999999996</v>
      </c>
      <c r="H80">
        <f t="shared" si="7"/>
        <v>3.9417263959180655</v>
      </c>
      <c r="I80">
        <f t="shared" si="8"/>
        <v>0.98543159897951638</v>
      </c>
    </row>
    <row r="81" spans="1:9" x14ac:dyDescent="0.3">
      <c r="A81" t="s">
        <v>13</v>
      </c>
      <c r="B81" t="s">
        <v>3</v>
      </c>
      <c r="C81">
        <v>6</v>
      </c>
      <c r="D81">
        <v>100</v>
      </c>
      <c r="E81">
        <v>1.980548</v>
      </c>
      <c r="F81">
        <v>0</v>
      </c>
      <c r="G81">
        <f t="shared" si="6"/>
        <v>4.3786509999999996</v>
      </c>
      <c r="H81">
        <f t="shared" si="7"/>
        <v>2.2108280132569367</v>
      </c>
      <c r="I81">
        <f t="shared" si="8"/>
        <v>0.3684713355428228</v>
      </c>
    </row>
    <row r="82" spans="1:9" x14ac:dyDescent="0.3">
      <c r="A82" t="s">
        <v>13</v>
      </c>
      <c r="B82" t="s">
        <v>3</v>
      </c>
      <c r="C82">
        <v>8</v>
      </c>
      <c r="D82">
        <v>100</v>
      </c>
      <c r="E82">
        <v>1.2006760000000001</v>
      </c>
      <c r="F82">
        <v>1</v>
      </c>
      <c r="G82">
        <f t="shared" si="6"/>
        <v>4.3786509999999996</v>
      </c>
      <c r="H82">
        <f t="shared" si="7"/>
        <v>3.6468214572457511</v>
      </c>
      <c r="I82">
        <f t="shared" si="8"/>
        <v>0.45585268215571889</v>
      </c>
    </row>
    <row r="83" spans="1:9" x14ac:dyDescent="0.3">
      <c r="A83" t="s">
        <v>13</v>
      </c>
      <c r="B83" t="s">
        <v>3</v>
      </c>
      <c r="C83">
        <v>10</v>
      </c>
      <c r="D83">
        <v>100</v>
      </c>
      <c r="E83">
        <v>2.0316589999999999</v>
      </c>
      <c r="F83">
        <v>1</v>
      </c>
      <c r="G83">
        <f t="shared" si="6"/>
        <v>4.3786509999999996</v>
      </c>
      <c r="H83">
        <f t="shared" si="7"/>
        <v>2.1552096094866311</v>
      </c>
      <c r="I83">
        <f t="shared" si="8"/>
        <v>0.2155209609486631</v>
      </c>
    </row>
    <row r="84" spans="1:9" x14ac:dyDescent="0.3">
      <c r="A84" t="s">
        <v>13</v>
      </c>
      <c r="B84" t="s">
        <v>3</v>
      </c>
      <c r="C84">
        <v>12</v>
      </c>
      <c r="D84">
        <v>100</v>
      </c>
      <c r="E84">
        <v>2.1429849999999999</v>
      </c>
      <c r="F84">
        <v>8</v>
      </c>
      <c r="G84">
        <f t="shared" si="6"/>
        <v>4.3786509999999996</v>
      </c>
      <c r="H84">
        <f t="shared" si="7"/>
        <v>2.0432485528363475</v>
      </c>
      <c r="I84">
        <f t="shared" si="8"/>
        <v>0.1702707127363623</v>
      </c>
    </row>
    <row r="85" spans="1:9" x14ac:dyDescent="0.3">
      <c r="A85" t="s">
        <v>13</v>
      </c>
      <c r="B85" t="s">
        <v>3</v>
      </c>
      <c r="C85">
        <v>16</v>
      </c>
      <c r="D85">
        <v>100</v>
      </c>
      <c r="E85">
        <v>30.086213000000001</v>
      </c>
      <c r="F85">
        <v>4</v>
      </c>
      <c r="G85">
        <f t="shared" si="6"/>
        <v>4.3786509999999996</v>
      </c>
      <c r="H85">
        <f t="shared" si="7"/>
        <v>0.14553679454439811</v>
      </c>
      <c r="I85">
        <f t="shared" si="8"/>
        <v>9.0960496590248817E-3</v>
      </c>
    </row>
    <row r="86" spans="1:9" x14ac:dyDescent="0.3">
      <c r="A86" t="s">
        <v>13</v>
      </c>
      <c r="B86" t="s">
        <v>3</v>
      </c>
      <c r="C86">
        <v>20</v>
      </c>
      <c r="D86">
        <v>100</v>
      </c>
      <c r="E86">
        <v>52.797120999999997</v>
      </c>
      <c r="F86">
        <v>0</v>
      </c>
      <c r="G86">
        <f t="shared" si="6"/>
        <v>4.3786509999999996</v>
      </c>
      <c r="H86">
        <f t="shared" si="7"/>
        <v>8.2933518287862704E-2</v>
      </c>
      <c r="I86">
        <f t="shared" si="8"/>
        <v>4.1466759143931348E-3</v>
      </c>
    </row>
    <row r="87" spans="1:9" x14ac:dyDescent="0.3">
      <c r="A87" t="s">
        <v>13</v>
      </c>
      <c r="B87" t="s">
        <v>3</v>
      </c>
      <c r="C87">
        <v>24</v>
      </c>
      <c r="D87">
        <v>100</v>
      </c>
      <c r="E87">
        <v>88.900203000000005</v>
      </c>
      <c r="F87">
        <v>5</v>
      </c>
      <c r="G87">
        <f t="shared" si="6"/>
        <v>4.3786509999999996</v>
      </c>
      <c r="H87">
        <f t="shared" si="7"/>
        <v>4.9253554572873129E-2</v>
      </c>
      <c r="I87">
        <f t="shared" si="8"/>
        <v>2.0522314405363802E-3</v>
      </c>
    </row>
    <row r="88" spans="1:9" x14ac:dyDescent="0.3">
      <c r="A88" t="s">
        <v>13</v>
      </c>
      <c r="B88" t="s">
        <v>3</v>
      </c>
      <c r="C88">
        <v>28</v>
      </c>
      <c r="D88">
        <v>100</v>
      </c>
      <c r="E88">
        <v>244.72161199999999</v>
      </c>
      <c r="F88">
        <v>8</v>
      </c>
      <c r="G88">
        <f t="shared" si="6"/>
        <v>4.3786509999999996</v>
      </c>
      <c r="H88">
        <f t="shared" si="7"/>
        <v>1.7892375602690944E-2</v>
      </c>
      <c r="I88">
        <f t="shared" si="8"/>
        <v>6.3901341438181946E-4</v>
      </c>
    </row>
    <row r="89" spans="1:9" x14ac:dyDescent="0.3">
      <c r="A89" t="s">
        <v>13</v>
      </c>
      <c r="B89" t="s">
        <v>3</v>
      </c>
      <c r="C89">
        <v>32</v>
      </c>
      <c r="D89">
        <v>100</v>
      </c>
      <c r="E89">
        <v>205.16385500000001</v>
      </c>
      <c r="F89">
        <v>7</v>
      </c>
      <c r="G89">
        <f t="shared" si="6"/>
        <v>4.3786509999999996</v>
      </c>
      <c r="H89">
        <f t="shared" si="7"/>
        <v>2.1342214494848518E-2</v>
      </c>
      <c r="I89">
        <f t="shared" si="8"/>
        <v>6.6694420296401619E-4</v>
      </c>
    </row>
    <row r="90" spans="1:9" x14ac:dyDescent="0.3">
      <c r="A90" t="s">
        <v>14</v>
      </c>
      <c r="B90" t="s">
        <v>3</v>
      </c>
      <c r="C90">
        <v>1</v>
      </c>
      <c r="D90">
        <v>100</v>
      </c>
      <c r="E90">
        <v>3.2606570000000001</v>
      </c>
      <c r="F90">
        <v>0</v>
      </c>
      <c r="G90">
        <f t="shared" si="6"/>
        <v>3.2606570000000001</v>
      </c>
      <c r="H90">
        <f t="shared" si="7"/>
        <v>1</v>
      </c>
      <c r="I90">
        <f t="shared" si="8"/>
        <v>1</v>
      </c>
    </row>
    <row r="91" spans="1:9" x14ac:dyDescent="0.3">
      <c r="A91" t="s">
        <v>14</v>
      </c>
      <c r="B91" t="s">
        <v>3</v>
      </c>
      <c r="C91">
        <v>2</v>
      </c>
      <c r="D91">
        <v>100</v>
      </c>
      <c r="E91">
        <v>1.7336320000000001</v>
      </c>
      <c r="F91">
        <v>0</v>
      </c>
      <c r="G91">
        <f t="shared" si="6"/>
        <v>3.2606570000000001</v>
      </c>
      <c r="H91">
        <f t="shared" si="7"/>
        <v>1.8808241887551684</v>
      </c>
      <c r="I91">
        <f t="shared" si="8"/>
        <v>0.94041209437758422</v>
      </c>
    </row>
    <row r="92" spans="1:9" x14ac:dyDescent="0.3">
      <c r="A92" t="s">
        <v>14</v>
      </c>
      <c r="B92" t="s">
        <v>3</v>
      </c>
      <c r="C92">
        <v>4</v>
      </c>
      <c r="D92">
        <v>100</v>
      </c>
      <c r="E92">
        <v>1.194823</v>
      </c>
      <c r="F92">
        <v>1</v>
      </c>
      <c r="G92">
        <f t="shared" si="6"/>
        <v>3.2606570000000001</v>
      </c>
      <c r="H92">
        <f t="shared" si="7"/>
        <v>2.7289874734584121</v>
      </c>
      <c r="I92">
        <f t="shared" si="8"/>
        <v>0.68224686836460302</v>
      </c>
    </row>
    <row r="93" spans="1:9" x14ac:dyDescent="0.3">
      <c r="A93" t="s">
        <v>14</v>
      </c>
      <c r="B93" t="s">
        <v>3</v>
      </c>
      <c r="C93">
        <v>6</v>
      </c>
      <c r="D93">
        <v>100</v>
      </c>
      <c r="E93">
        <v>0.82580699999999996</v>
      </c>
      <c r="F93">
        <v>1</v>
      </c>
      <c r="G93">
        <f t="shared" si="6"/>
        <v>3.2606570000000001</v>
      </c>
      <c r="H93">
        <f t="shared" si="7"/>
        <v>3.9484492139204441</v>
      </c>
      <c r="I93">
        <f t="shared" si="8"/>
        <v>0.65807486898674072</v>
      </c>
    </row>
    <row r="94" spans="1:9" x14ac:dyDescent="0.3">
      <c r="A94" t="s">
        <v>14</v>
      </c>
      <c r="B94" t="s">
        <v>3</v>
      </c>
      <c r="C94">
        <v>8</v>
      </c>
      <c r="D94">
        <v>100</v>
      </c>
      <c r="E94">
        <v>0.67168399999999995</v>
      </c>
      <c r="F94">
        <v>3</v>
      </c>
      <c r="G94">
        <f t="shared" si="6"/>
        <v>3.2606570000000001</v>
      </c>
      <c r="H94">
        <f t="shared" si="7"/>
        <v>4.8544509025077272</v>
      </c>
      <c r="I94">
        <f t="shared" si="8"/>
        <v>0.60680636281346589</v>
      </c>
    </row>
    <row r="95" spans="1:9" x14ac:dyDescent="0.3">
      <c r="A95" t="s">
        <v>14</v>
      </c>
      <c r="B95" t="s">
        <v>3</v>
      </c>
      <c r="C95">
        <v>10</v>
      </c>
      <c r="D95">
        <v>100</v>
      </c>
      <c r="E95">
        <v>0.58578200000000002</v>
      </c>
      <c r="F95">
        <v>6</v>
      </c>
      <c r="G95">
        <f t="shared" si="6"/>
        <v>3.2606570000000001</v>
      </c>
      <c r="H95">
        <f t="shared" si="7"/>
        <v>5.5663318435868634</v>
      </c>
      <c r="I95">
        <f t="shared" si="8"/>
        <v>0.55663318435868636</v>
      </c>
    </row>
    <row r="96" spans="1:9" x14ac:dyDescent="0.3">
      <c r="A96" t="s">
        <v>14</v>
      </c>
      <c r="B96" t="s">
        <v>3</v>
      </c>
      <c r="C96">
        <v>12</v>
      </c>
      <c r="D96">
        <v>100</v>
      </c>
      <c r="E96">
        <v>0.56777900000000003</v>
      </c>
      <c r="F96">
        <v>3</v>
      </c>
      <c r="G96">
        <f t="shared" si="6"/>
        <v>3.2606570000000001</v>
      </c>
      <c r="H96">
        <f t="shared" si="7"/>
        <v>5.742827755165302</v>
      </c>
      <c r="I96">
        <f t="shared" si="8"/>
        <v>0.47856897959710848</v>
      </c>
    </row>
    <row r="97" spans="1:9" x14ac:dyDescent="0.3">
      <c r="A97" t="s">
        <v>13</v>
      </c>
      <c r="B97" t="s">
        <v>2</v>
      </c>
      <c r="C97">
        <v>1</v>
      </c>
      <c r="D97">
        <v>100</v>
      </c>
      <c r="E97">
        <v>72.531633999999997</v>
      </c>
      <c r="F97">
        <v>0</v>
      </c>
      <c r="G97">
        <f t="shared" si="6"/>
        <v>72.531633999999997</v>
      </c>
      <c r="H97">
        <f t="shared" si="7"/>
        <v>1</v>
      </c>
      <c r="I97">
        <f t="shared" si="8"/>
        <v>1</v>
      </c>
    </row>
    <row r="98" spans="1:9" x14ac:dyDescent="0.3">
      <c r="A98" t="s">
        <v>13</v>
      </c>
      <c r="B98" t="s">
        <v>2</v>
      </c>
      <c r="C98">
        <v>2</v>
      </c>
      <c r="D98">
        <v>100</v>
      </c>
      <c r="E98">
        <v>36.35436</v>
      </c>
      <c r="F98">
        <v>1</v>
      </c>
      <c r="G98">
        <f t="shared" ref="G98:G129" si="9">IF(COUNTIFS($A$2:$A$162, A98, $B$2:$B$162, B98, $C$2:$C$162, 1)&gt;0, AVERAGEIFS($E$2:$E$162, $A$2:$A$162, A98, $B$2:$B$162, B98, $C$2:$C$162, 1), _xlfn.MINIFS($E$2:$E$162, $A$2:$A$162, A98, $B$2:$B$162, B98))</f>
        <v>72.531633999999997</v>
      </c>
      <c r="H98">
        <f t="shared" ref="H98:H129" si="10" xml:space="preserve"> G98 / E98</f>
        <v>1.9951288923804462</v>
      </c>
      <c r="I98">
        <f t="shared" ref="I98:I129" si="11">H98 / C98</f>
        <v>0.99756444619022311</v>
      </c>
    </row>
    <row r="99" spans="1:9" x14ac:dyDescent="0.3">
      <c r="A99" t="s">
        <v>13</v>
      </c>
      <c r="B99" t="s">
        <v>2</v>
      </c>
      <c r="C99">
        <v>4</v>
      </c>
      <c r="D99">
        <v>100</v>
      </c>
      <c r="E99">
        <v>18.218066</v>
      </c>
      <c r="F99">
        <v>2</v>
      </c>
      <c r="G99">
        <f t="shared" si="9"/>
        <v>72.531633999999997</v>
      </c>
      <c r="H99">
        <f t="shared" si="10"/>
        <v>3.9813026256464323</v>
      </c>
      <c r="I99">
        <f t="shared" si="11"/>
        <v>0.99532565641160808</v>
      </c>
    </row>
    <row r="100" spans="1:9" x14ac:dyDescent="0.3">
      <c r="A100" t="s">
        <v>13</v>
      </c>
      <c r="B100" t="s">
        <v>2</v>
      </c>
      <c r="C100">
        <v>6</v>
      </c>
      <c r="D100">
        <v>100</v>
      </c>
      <c r="E100">
        <v>26.333300999999999</v>
      </c>
      <c r="F100">
        <v>1</v>
      </c>
      <c r="G100">
        <f t="shared" si="9"/>
        <v>72.531633999999997</v>
      </c>
      <c r="H100">
        <f t="shared" si="10"/>
        <v>2.7543692300482951</v>
      </c>
      <c r="I100">
        <f t="shared" si="11"/>
        <v>0.45906153834138252</v>
      </c>
    </row>
    <row r="101" spans="1:9" x14ac:dyDescent="0.3">
      <c r="A101" t="s">
        <v>13</v>
      </c>
      <c r="B101" t="s">
        <v>2</v>
      </c>
      <c r="C101">
        <v>8</v>
      </c>
      <c r="D101">
        <v>100</v>
      </c>
      <c r="E101">
        <v>19.446349000000001</v>
      </c>
      <c r="F101">
        <v>1</v>
      </c>
      <c r="G101">
        <f t="shared" si="9"/>
        <v>72.531633999999997</v>
      </c>
      <c r="H101">
        <f t="shared" si="10"/>
        <v>3.7298329881871393</v>
      </c>
      <c r="I101">
        <f t="shared" si="11"/>
        <v>0.46622912352339241</v>
      </c>
    </row>
    <row r="102" spans="1:9" x14ac:dyDescent="0.3">
      <c r="A102" t="s">
        <v>13</v>
      </c>
      <c r="B102" t="s">
        <v>2</v>
      </c>
      <c r="C102">
        <v>10</v>
      </c>
      <c r="D102">
        <v>100</v>
      </c>
      <c r="E102">
        <v>24.704526000000001</v>
      </c>
      <c r="F102">
        <v>9</v>
      </c>
      <c r="G102">
        <f t="shared" si="9"/>
        <v>72.531633999999997</v>
      </c>
      <c r="H102">
        <f t="shared" si="10"/>
        <v>2.9359654178347721</v>
      </c>
      <c r="I102">
        <f t="shared" si="11"/>
        <v>0.29359654178347722</v>
      </c>
    </row>
    <row r="103" spans="1:9" x14ac:dyDescent="0.3">
      <c r="A103" t="s">
        <v>13</v>
      </c>
      <c r="B103" t="s">
        <v>2</v>
      </c>
      <c r="C103">
        <v>12</v>
      </c>
      <c r="D103">
        <v>100</v>
      </c>
      <c r="E103">
        <v>20.930223999999999</v>
      </c>
      <c r="F103">
        <v>10</v>
      </c>
      <c r="G103">
        <f t="shared" si="9"/>
        <v>72.531633999999997</v>
      </c>
      <c r="H103">
        <f t="shared" si="10"/>
        <v>3.465401708075365</v>
      </c>
      <c r="I103">
        <f t="shared" si="11"/>
        <v>0.2887834756729471</v>
      </c>
    </row>
    <row r="104" spans="1:9" x14ac:dyDescent="0.3">
      <c r="A104" t="s">
        <v>13</v>
      </c>
      <c r="B104" t="s">
        <v>2</v>
      </c>
      <c r="C104">
        <v>16</v>
      </c>
      <c r="D104">
        <v>100</v>
      </c>
      <c r="E104">
        <v>21.876017999999998</v>
      </c>
      <c r="F104">
        <v>5</v>
      </c>
      <c r="G104">
        <f t="shared" si="9"/>
        <v>72.531633999999997</v>
      </c>
      <c r="H104">
        <f t="shared" si="10"/>
        <v>3.3155775424942511</v>
      </c>
      <c r="I104">
        <f t="shared" si="11"/>
        <v>0.20722359640589069</v>
      </c>
    </row>
    <row r="105" spans="1:9" x14ac:dyDescent="0.3">
      <c r="A105" t="s">
        <v>13</v>
      </c>
      <c r="B105" t="s">
        <v>2</v>
      </c>
      <c r="C105">
        <v>20</v>
      </c>
      <c r="D105">
        <v>100</v>
      </c>
      <c r="E105">
        <v>28.896788000000001</v>
      </c>
      <c r="F105">
        <v>10</v>
      </c>
      <c r="G105">
        <f t="shared" si="9"/>
        <v>72.531633999999997</v>
      </c>
      <c r="H105">
        <f t="shared" si="10"/>
        <v>2.5100240898746256</v>
      </c>
      <c r="I105">
        <f t="shared" si="11"/>
        <v>0.12550120449373128</v>
      </c>
    </row>
    <row r="106" spans="1:9" x14ac:dyDescent="0.3">
      <c r="A106" t="s">
        <v>13</v>
      </c>
      <c r="B106" t="s">
        <v>2</v>
      </c>
      <c r="C106">
        <v>24</v>
      </c>
      <c r="D106">
        <v>100</v>
      </c>
      <c r="E106">
        <v>45.445515999999998</v>
      </c>
      <c r="F106">
        <v>3</v>
      </c>
      <c r="G106">
        <f t="shared" si="9"/>
        <v>72.531633999999997</v>
      </c>
      <c r="H106">
        <f t="shared" si="10"/>
        <v>1.5960129927889914</v>
      </c>
      <c r="I106">
        <f t="shared" si="11"/>
        <v>6.6500541366207977E-2</v>
      </c>
    </row>
    <row r="107" spans="1:9" x14ac:dyDescent="0.3">
      <c r="A107" t="s">
        <v>13</v>
      </c>
      <c r="B107" t="s">
        <v>2</v>
      </c>
      <c r="C107">
        <v>28</v>
      </c>
      <c r="D107">
        <v>100</v>
      </c>
      <c r="E107">
        <v>32.748975000000002</v>
      </c>
      <c r="F107">
        <v>21</v>
      </c>
      <c r="G107">
        <f t="shared" si="9"/>
        <v>72.531633999999997</v>
      </c>
      <c r="H107">
        <f t="shared" si="10"/>
        <v>2.2147756990867653</v>
      </c>
      <c r="I107">
        <f t="shared" si="11"/>
        <v>7.9099132110241624E-2</v>
      </c>
    </row>
    <row r="108" spans="1:9" x14ac:dyDescent="0.3">
      <c r="A108" t="s">
        <v>13</v>
      </c>
      <c r="B108" t="s">
        <v>2</v>
      </c>
      <c r="C108">
        <v>32</v>
      </c>
      <c r="D108">
        <v>100</v>
      </c>
      <c r="E108">
        <v>56.429783999999998</v>
      </c>
      <c r="F108">
        <v>17</v>
      </c>
      <c r="G108">
        <f t="shared" si="9"/>
        <v>72.531633999999997</v>
      </c>
      <c r="H108">
        <f t="shared" si="10"/>
        <v>1.2853431088802325</v>
      </c>
      <c r="I108">
        <f t="shared" si="11"/>
        <v>4.0166972152507266E-2</v>
      </c>
    </row>
    <row r="109" spans="1:9" x14ac:dyDescent="0.3">
      <c r="A109" t="s">
        <v>14</v>
      </c>
      <c r="B109" t="s">
        <v>2</v>
      </c>
      <c r="C109">
        <v>1</v>
      </c>
      <c r="D109">
        <v>100</v>
      </c>
      <c r="E109">
        <v>54.217100000000002</v>
      </c>
      <c r="F109">
        <v>0</v>
      </c>
      <c r="G109">
        <f t="shared" si="9"/>
        <v>54.217100000000002</v>
      </c>
      <c r="H109">
        <f t="shared" si="10"/>
        <v>1</v>
      </c>
      <c r="I109">
        <f t="shared" si="11"/>
        <v>1</v>
      </c>
    </row>
    <row r="110" spans="1:9" x14ac:dyDescent="0.3">
      <c r="A110" t="s">
        <v>14</v>
      </c>
      <c r="B110" t="s">
        <v>2</v>
      </c>
      <c r="C110">
        <v>2</v>
      </c>
      <c r="D110">
        <v>100</v>
      </c>
      <c r="E110">
        <v>29.066921000000001</v>
      </c>
      <c r="F110">
        <v>1</v>
      </c>
      <c r="G110">
        <f t="shared" si="9"/>
        <v>54.217100000000002</v>
      </c>
      <c r="H110">
        <f t="shared" si="10"/>
        <v>1.8652508808896546</v>
      </c>
      <c r="I110">
        <f t="shared" si="11"/>
        <v>0.93262544044482731</v>
      </c>
    </row>
    <row r="111" spans="1:9" x14ac:dyDescent="0.3">
      <c r="A111" t="s">
        <v>14</v>
      </c>
      <c r="B111" t="s">
        <v>2</v>
      </c>
      <c r="C111">
        <v>4</v>
      </c>
      <c r="D111">
        <v>100</v>
      </c>
      <c r="E111">
        <v>19.378278999999999</v>
      </c>
      <c r="F111">
        <v>2</v>
      </c>
      <c r="G111">
        <f t="shared" si="9"/>
        <v>54.217100000000002</v>
      </c>
      <c r="H111">
        <f t="shared" si="10"/>
        <v>2.7978284346096989</v>
      </c>
      <c r="I111">
        <f t="shared" si="11"/>
        <v>0.69945710865242472</v>
      </c>
    </row>
    <row r="112" spans="1:9" x14ac:dyDescent="0.3">
      <c r="A112" t="s">
        <v>14</v>
      </c>
      <c r="B112" t="s">
        <v>2</v>
      </c>
      <c r="C112">
        <v>6</v>
      </c>
      <c r="D112">
        <v>100</v>
      </c>
      <c r="E112">
        <v>14.657219</v>
      </c>
      <c r="F112">
        <v>4</v>
      </c>
      <c r="G112">
        <f t="shared" si="9"/>
        <v>54.217100000000002</v>
      </c>
      <c r="H112">
        <f t="shared" si="10"/>
        <v>3.6990032010847353</v>
      </c>
      <c r="I112">
        <f t="shared" si="11"/>
        <v>0.6165005335141226</v>
      </c>
    </row>
    <row r="113" spans="1:9" x14ac:dyDescent="0.3">
      <c r="A113" t="s">
        <v>14</v>
      </c>
      <c r="B113" t="s">
        <v>2</v>
      </c>
      <c r="C113">
        <v>8</v>
      </c>
      <c r="D113">
        <v>100</v>
      </c>
      <c r="E113">
        <v>11.824261</v>
      </c>
      <c r="F113">
        <v>7</v>
      </c>
      <c r="G113">
        <f t="shared" si="9"/>
        <v>54.217100000000002</v>
      </c>
      <c r="H113">
        <f t="shared" si="10"/>
        <v>4.5852421559368493</v>
      </c>
      <c r="I113">
        <f t="shared" si="11"/>
        <v>0.57315526949210616</v>
      </c>
    </row>
    <row r="114" spans="1:9" x14ac:dyDescent="0.3">
      <c r="A114" t="s">
        <v>14</v>
      </c>
      <c r="B114" t="s">
        <v>2</v>
      </c>
      <c r="C114">
        <v>10</v>
      </c>
      <c r="D114">
        <v>100</v>
      </c>
      <c r="E114">
        <v>10.240159</v>
      </c>
      <c r="F114">
        <v>1</v>
      </c>
      <c r="G114">
        <f t="shared" si="9"/>
        <v>54.217100000000002</v>
      </c>
      <c r="H114">
        <f t="shared" si="10"/>
        <v>5.2945564614768186</v>
      </c>
      <c r="I114">
        <f t="shared" si="11"/>
        <v>0.52945564614768181</v>
      </c>
    </row>
    <row r="115" spans="1:9" x14ac:dyDescent="0.3">
      <c r="A115" t="s">
        <v>14</v>
      </c>
      <c r="B115" t="s">
        <v>2</v>
      </c>
      <c r="C115">
        <v>12</v>
      </c>
      <c r="D115">
        <v>100</v>
      </c>
      <c r="E115">
        <v>10.229388999999999</v>
      </c>
      <c r="F115">
        <v>3</v>
      </c>
      <c r="G115">
        <f t="shared" si="9"/>
        <v>54.217100000000002</v>
      </c>
      <c r="H115">
        <f t="shared" si="10"/>
        <v>5.3001308289282969</v>
      </c>
      <c r="I115">
        <f t="shared" si="11"/>
        <v>0.44167756907735806</v>
      </c>
    </row>
    <row r="116" spans="1:9" x14ac:dyDescent="0.3">
      <c r="A116" t="s">
        <v>13</v>
      </c>
      <c r="B116" t="s">
        <v>1</v>
      </c>
      <c r="C116">
        <v>1</v>
      </c>
      <c r="D116">
        <v>100</v>
      </c>
      <c r="E116">
        <v>154.002015</v>
      </c>
      <c r="F116">
        <v>0</v>
      </c>
      <c r="G116">
        <f t="shared" si="9"/>
        <v>154.002015</v>
      </c>
      <c r="H116">
        <f t="shared" si="10"/>
        <v>1</v>
      </c>
      <c r="I116">
        <f t="shared" si="11"/>
        <v>1</v>
      </c>
    </row>
    <row r="117" spans="1:9" x14ac:dyDescent="0.3">
      <c r="A117" t="s">
        <v>13</v>
      </c>
      <c r="B117" t="s">
        <v>1</v>
      </c>
      <c r="C117">
        <v>2</v>
      </c>
      <c r="D117">
        <v>100</v>
      </c>
      <c r="E117">
        <v>77.144119000000003</v>
      </c>
      <c r="F117">
        <v>0</v>
      </c>
      <c r="G117">
        <f t="shared" si="9"/>
        <v>154.002015</v>
      </c>
      <c r="H117">
        <f t="shared" si="10"/>
        <v>1.9962897625417175</v>
      </c>
      <c r="I117">
        <f t="shared" si="11"/>
        <v>0.99814488127085876</v>
      </c>
    </row>
    <row r="118" spans="1:9" x14ac:dyDescent="0.3">
      <c r="A118" t="s">
        <v>13</v>
      </c>
      <c r="B118" t="s">
        <v>1</v>
      </c>
      <c r="C118">
        <v>4</v>
      </c>
      <c r="D118">
        <v>100</v>
      </c>
      <c r="E118">
        <v>38.645496999999999</v>
      </c>
      <c r="F118">
        <v>3</v>
      </c>
      <c r="G118">
        <f t="shared" si="9"/>
        <v>154.002015</v>
      </c>
      <c r="H118">
        <f t="shared" si="10"/>
        <v>3.9849924817890168</v>
      </c>
      <c r="I118">
        <f t="shared" si="11"/>
        <v>0.99624812044725419</v>
      </c>
    </row>
    <row r="119" spans="1:9" x14ac:dyDescent="0.3">
      <c r="A119" t="s">
        <v>13</v>
      </c>
      <c r="B119" t="s">
        <v>1</v>
      </c>
      <c r="C119">
        <v>6</v>
      </c>
      <c r="D119">
        <v>100</v>
      </c>
      <c r="E119">
        <v>25.746389000000001</v>
      </c>
      <c r="F119">
        <v>5</v>
      </c>
      <c r="G119">
        <f t="shared" si="9"/>
        <v>154.002015</v>
      </c>
      <c r="H119">
        <f t="shared" si="10"/>
        <v>5.9814995803877586</v>
      </c>
      <c r="I119">
        <f t="shared" si="11"/>
        <v>0.99691659673129307</v>
      </c>
    </row>
    <row r="120" spans="1:9" x14ac:dyDescent="0.3">
      <c r="A120" t="s">
        <v>13</v>
      </c>
      <c r="B120" t="s">
        <v>1</v>
      </c>
      <c r="C120">
        <v>8</v>
      </c>
      <c r="D120">
        <v>100</v>
      </c>
      <c r="E120">
        <v>19.358367999999999</v>
      </c>
      <c r="F120">
        <v>0</v>
      </c>
      <c r="G120">
        <f t="shared" si="9"/>
        <v>154.002015</v>
      </c>
      <c r="H120">
        <f t="shared" si="10"/>
        <v>7.9553201488885845</v>
      </c>
      <c r="I120">
        <f t="shared" si="11"/>
        <v>0.99441501861107306</v>
      </c>
    </row>
    <row r="121" spans="1:9" x14ac:dyDescent="0.3">
      <c r="A121" t="s">
        <v>13</v>
      </c>
      <c r="B121" t="s">
        <v>1</v>
      </c>
      <c r="C121">
        <v>10</v>
      </c>
      <c r="D121">
        <v>100</v>
      </c>
      <c r="E121">
        <v>15.53326</v>
      </c>
      <c r="F121">
        <v>9</v>
      </c>
      <c r="G121">
        <f t="shared" si="9"/>
        <v>154.002015</v>
      </c>
      <c r="H121">
        <f t="shared" si="10"/>
        <v>9.9143396170539866</v>
      </c>
      <c r="I121">
        <f t="shared" si="11"/>
        <v>0.99143396170539866</v>
      </c>
    </row>
    <row r="122" spans="1:9" x14ac:dyDescent="0.3">
      <c r="A122" t="s">
        <v>13</v>
      </c>
      <c r="B122" t="s">
        <v>1</v>
      </c>
      <c r="C122">
        <v>12</v>
      </c>
      <c r="D122">
        <v>100</v>
      </c>
      <c r="E122">
        <v>12.951661</v>
      </c>
      <c r="F122">
        <v>7</v>
      </c>
      <c r="G122">
        <f t="shared" si="9"/>
        <v>154.002015</v>
      </c>
      <c r="H122">
        <f t="shared" si="10"/>
        <v>11.890522381646647</v>
      </c>
      <c r="I122">
        <f t="shared" si="11"/>
        <v>0.99087686513722062</v>
      </c>
    </row>
    <row r="123" spans="1:9" x14ac:dyDescent="0.3">
      <c r="A123" t="s">
        <v>13</v>
      </c>
      <c r="B123" t="s">
        <v>1</v>
      </c>
      <c r="C123">
        <v>16</v>
      </c>
      <c r="D123">
        <v>100</v>
      </c>
      <c r="E123">
        <v>9.7295269999999991</v>
      </c>
      <c r="F123">
        <v>10</v>
      </c>
      <c r="G123">
        <f t="shared" si="9"/>
        <v>154.002015</v>
      </c>
      <c r="H123">
        <f t="shared" si="10"/>
        <v>15.828314675523282</v>
      </c>
      <c r="I123">
        <f t="shared" si="11"/>
        <v>0.98926966722020515</v>
      </c>
    </row>
    <row r="124" spans="1:9" x14ac:dyDescent="0.3">
      <c r="A124" t="s">
        <v>13</v>
      </c>
      <c r="B124" t="s">
        <v>1</v>
      </c>
      <c r="C124">
        <v>20</v>
      </c>
      <c r="D124">
        <v>100</v>
      </c>
      <c r="E124">
        <v>7.8186299999999997</v>
      </c>
      <c r="F124">
        <v>9</v>
      </c>
      <c r="G124">
        <f t="shared" si="9"/>
        <v>154.002015</v>
      </c>
      <c r="H124">
        <f t="shared" si="10"/>
        <v>19.696803020478011</v>
      </c>
      <c r="I124">
        <f t="shared" si="11"/>
        <v>0.98484015102390055</v>
      </c>
    </row>
    <row r="125" spans="1:9" x14ac:dyDescent="0.3">
      <c r="A125" t="s">
        <v>13</v>
      </c>
      <c r="B125" t="s">
        <v>1</v>
      </c>
      <c r="C125">
        <v>24</v>
      </c>
      <c r="D125">
        <v>100</v>
      </c>
      <c r="E125">
        <v>6.528759</v>
      </c>
      <c r="F125">
        <v>18</v>
      </c>
      <c r="G125">
        <f t="shared" si="9"/>
        <v>154.002015</v>
      </c>
      <c r="H125">
        <f t="shared" si="10"/>
        <v>23.588252376906546</v>
      </c>
      <c r="I125">
        <f t="shared" si="11"/>
        <v>0.98284384903777278</v>
      </c>
    </row>
    <row r="126" spans="1:9" x14ac:dyDescent="0.3">
      <c r="A126" t="s">
        <v>13</v>
      </c>
      <c r="B126" t="s">
        <v>1</v>
      </c>
      <c r="C126">
        <v>28</v>
      </c>
      <c r="D126">
        <v>100</v>
      </c>
      <c r="E126">
        <v>5.5830130000000002</v>
      </c>
      <c r="F126">
        <v>10</v>
      </c>
      <c r="G126">
        <f t="shared" si="9"/>
        <v>154.002015</v>
      </c>
      <c r="H126">
        <f t="shared" si="10"/>
        <v>27.584033030193552</v>
      </c>
      <c r="I126">
        <f t="shared" si="11"/>
        <v>0.98514403679262685</v>
      </c>
    </row>
    <row r="127" spans="1:9" x14ac:dyDescent="0.3">
      <c r="A127" t="s">
        <v>13</v>
      </c>
      <c r="B127" t="s">
        <v>1</v>
      </c>
      <c r="C127">
        <v>32</v>
      </c>
      <c r="D127">
        <v>100</v>
      </c>
      <c r="E127">
        <v>4.8993679999999999</v>
      </c>
      <c r="F127">
        <v>6</v>
      </c>
      <c r="G127">
        <f t="shared" si="9"/>
        <v>154.002015</v>
      </c>
      <c r="H127">
        <f t="shared" si="10"/>
        <v>31.433036873327335</v>
      </c>
      <c r="I127">
        <f t="shared" si="11"/>
        <v>0.98228240229147923</v>
      </c>
    </row>
    <row r="128" spans="1:9" x14ac:dyDescent="0.3">
      <c r="A128" t="s">
        <v>14</v>
      </c>
      <c r="B128" t="s">
        <v>19</v>
      </c>
      <c r="C128">
        <v>1</v>
      </c>
      <c r="D128">
        <v>100</v>
      </c>
      <c r="E128">
        <v>116.38681</v>
      </c>
      <c r="F128">
        <v>0</v>
      </c>
      <c r="G128">
        <f t="shared" si="9"/>
        <v>116.38681</v>
      </c>
      <c r="H128">
        <f t="shared" si="10"/>
        <v>1</v>
      </c>
      <c r="I128">
        <f t="shared" si="11"/>
        <v>1</v>
      </c>
    </row>
    <row r="129" spans="1:9" x14ac:dyDescent="0.3">
      <c r="A129" t="s">
        <v>14</v>
      </c>
      <c r="B129" t="s">
        <v>19</v>
      </c>
      <c r="C129">
        <v>2</v>
      </c>
      <c r="D129">
        <v>100</v>
      </c>
      <c r="E129">
        <v>61.430937999999998</v>
      </c>
      <c r="F129">
        <v>0</v>
      </c>
      <c r="G129">
        <f t="shared" si="9"/>
        <v>116.38681</v>
      </c>
      <c r="H129">
        <f t="shared" si="10"/>
        <v>1.8945960095872214</v>
      </c>
      <c r="I129">
        <f t="shared" si="11"/>
        <v>0.9472980047936107</v>
      </c>
    </row>
    <row r="130" spans="1:9" x14ac:dyDescent="0.3">
      <c r="A130" t="s">
        <v>14</v>
      </c>
      <c r="B130" t="s">
        <v>19</v>
      </c>
      <c r="C130">
        <v>4</v>
      </c>
      <c r="D130">
        <v>100</v>
      </c>
      <c r="E130">
        <v>40.044936999999997</v>
      </c>
      <c r="F130">
        <v>1</v>
      </c>
      <c r="G130">
        <f t="shared" ref="G130:G162" si="12">IF(COUNTIFS($A$2:$A$162, A130, $B$2:$B$162, B130, $C$2:$C$162, 1)&gt;0, AVERAGEIFS($E$2:$E$162, $A$2:$A$162, A130, $B$2:$B$162, B130, $C$2:$C$162, 1), _xlfn.MINIFS($E$2:$E$162, $A$2:$A$162, A130, $B$2:$B$162, B130))</f>
        <v>116.38681</v>
      </c>
      <c r="H130">
        <f t="shared" ref="H130:H161" si="13" xml:space="preserve"> G130 / E130</f>
        <v>2.9064051218260127</v>
      </c>
      <c r="I130">
        <f t="shared" ref="I130:I161" si="14">H130 / C130</f>
        <v>0.72660128045650318</v>
      </c>
    </row>
    <row r="131" spans="1:9" x14ac:dyDescent="0.3">
      <c r="A131" t="s">
        <v>14</v>
      </c>
      <c r="B131" t="s">
        <v>19</v>
      </c>
      <c r="C131">
        <v>6</v>
      </c>
      <c r="D131">
        <v>100</v>
      </c>
      <c r="E131">
        <v>29.363962999999998</v>
      </c>
      <c r="F131">
        <v>1</v>
      </c>
      <c r="G131">
        <f t="shared" si="12"/>
        <v>116.38681</v>
      </c>
      <c r="H131">
        <f t="shared" si="13"/>
        <v>3.9635934018851611</v>
      </c>
      <c r="I131">
        <f t="shared" si="14"/>
        <v>0.66059890031419355</v>
      </c>
    </row>
    <row r="132" spans="1:9" x14ac:dyDescent="0.3">
      <c r="A132" t="s">
        <v>14</v>
      </c>
      <c r="B132" t="s">
        <v>19</v>
      </c>
      <c r="C132">
        <v>8</v>
      </c>
      <c r="D132">
        <v>100</v>
      </c>
      <c r="E132">
        <v>23.875588</v>
      </c>
      <c r="F132">
        <v>3</v>
      </c>
      <c r="G132">
        <f t="shared" si="12"/>
        <v>116.38681</v>
      </c>
      <c r="H132">
        <f t="shared" si="13"/>
        <v>4.8747201534889948</v>
      </c>
      <c r="I132">
        <f t="shared" si="14"/>
        <v>0.60934001918612435</v>
      </c>
    </row>
    <row r="133" spans="1:9" x14ac:dyDescent="0.3">
      <c r="A133" t="s">
        <v>14</v>
      </c>
      <c r="B133" t="s">
        <v>19</v>
      </c>
      <c r="C133">
        <v>10</v>
      </c>
      <c r="D133">
        <v>100</v>
      </c>
      <c r="E133">
        <v>20.168616</v>
      </c>
      <c r="F133">
        <v>1</v>
      </c>
      <c r="G133">
        <f t="shared" si="12"/>
        <v>116.38681</v>
      </c>
      <c r="H133">
        <f t="shared" si="13"/>
        <v>5.7706889753863129</v>
      </c>
      <c r="I133">
        <f t="shared" si="14"/>
        <v>0.57706889753863133</v>
      </c>
    </row>
    <row r="134" spans="1:9" x14ac:dyDescent="0.3">
      <c r="A134" t="s">
        <v>14</v>
      </c>
      <c r="B134" t="s">
        <v>19</v>
      </c>
      <c r="C134">
        <v>12</v>
      </c>
      <c r="D134">
        <v>100</v>
      </c>
      <c r="E134">
        <v>19.773899</v>
      </c>
      <c r="F134">
        <v>6</v>
      </c>
      <c r="G134">
        <f t="shared" si="12"/>
        <v>116.38681</v>
      </c>
      <c r="H134">
        <f t="shared" si="13"/>
        <v>5.8858806753286235</v>
      </c>
      <c r="I134">
        <f t="shared" si="14"/>
        <v>0.49049005627738529</v>
      </c>
    </row>
    <row r="135" spans="1:9" x14ac:dyDescent="0.3">
      <c r="A135" t="s">
        <v>13</v>
      </c>
      <c r="B135" t="s">
        <v>0</v>
      </c>
      <c r="C135">
        <v>1</v>
      </c>
      <c r="D135">
        <v>100</v>
      </c>
      <c r="E135">
        <v>257.05767800000001</v>
      </c>
      <c r="F135">
        <v>0</v>
      </c>
      <c r="G135">
        <f t="shared" si="12"/>
        <v>257.05767800000001</v>
      </c>
      <c r="H135">
        <f t="shared" si="13"/>
        <v>1</v>
      </c>
      <c r="I135">
        <f t="shared" si="14"/>
        <v>1</v>
      </c>
    </row>
    <row r="136" spans="1:9" x14ac:dyDescent="0.3">
      <c r="A136" t="s">
        <v>13</v>
      </c>
      <c r="B136" t="s">
        <v>0</v>
      </c>
      <c r="C136">
        <v>2</v>
      </c>
      <c r="D136">
        <v>100</v>
      </c>
      <c r="E136">
        <v>128.600447</v>
      </c>
      <c r="F136">
        <v>0</v>
      </c>
      <c r="G136">
        <f t="shared" si="12"/>
        <v>257.05767800000001</v>
      </c>
      <c r="H136">
        <f t="shared" si="13"/>
        <v>1.9988863491275424</v>
      </c>
      <c r="I136">
        <f t="shared" si="14"/>
        <v>0.99944317456377119</v>
      </c>
    </row>
    <row r="137" spans="1:9" x14ac:dyDescent="0.3">
      <c r="A137" t="s">
        <v>13</v>
      </c>
      <c r="B137" t="s">
        <v>0</v>
      </c>
      <c r="C137">
        <v>4</v>
      </c>
      <c r="D137">
        <v>100</v>
      </c>
      <c r="E137">
        <v>64.384635000000003</v>
      </c>
      <c r="F137">
        <v>2</v>
      </c>
      <c r="G137">
        <f t="shared" si="12"/>
        <v>257.05767800000001</v>
      </c>
      <c r="H137">
        <f t="shared" si="13"/>
        <v>3.9925314168512411</v>
      </c>
      <c r="I137">
        <f t="shared" si="14"/>
        <v>0.99813285421281028</v>
      </c>
    </row>
    <row r="138" spans="1:9" x14ac:dyDescent="0.3">
      <c r="A138" t="s">
        <v>13</v>
      </c>
      <c r="B138" t="s">
        <v>0</v>
      </c>
      <c r="C138">
        <v>6</v>
      </c>
      <c r="D138">
        <v>100</v>
      </c>
      <c r="E138">
        <v>42.908926999999998</v>
      </c>
      <c r="F138">
        <v>5</v>
      </c>
      <c r="G138">
        <f t="shared" si="12"/>
        <v>257.05767800000001</v>
      </c>
      <c r="H138">
        <f t="shared" si="13"/>
        <v>5.990773854587415</v>
      </c>
      <c r="I138">
        <f t="shared" si="14"/>
        <v>0.99846230909790246</v>
      </c>
    </row>
    <row r="139" spans="1:9" x14ac:dyDescent="0.3">
      <c r="A139" t="s">
        <v>13</v>
      </c>
      <c r="B139" t="s">
        <v>0</v>
      </c>
      <c r="C139">
        <v>8</v>
      </c>
      <c r="D139">
        <v>100</v>
      </c>
      <c r="E139">
        <v>32.204642999999997</v>
      </c>
      <c r="F139">
        <v>5</v>
      </c>
      <c r="G139">
        <f t="shared" si="12"/>
        <v>257.05767800000001</v>
      </c>
      <c r="H139">
        <f t="shared" si="13"/>
        <v>7.9820067559823604</v>
      </c>
      <c r="I139">
        <f t="shared" si="14"/>
        <v>0.99775084449779505</v>
      </c>
    </row>
    <row r="140" spans="1:9" x14ac:dyDescent="0.3">
      <c r="A140" t="s">
        <v>13</v>
      </c>
      <c r="B140" t="s">
        <v>0</v>
      </c>
      <c r="C140">
        <v>10</v>
      </c>
      <c r="D140">
        <v>100</v>
      </c>
      <c r="E140">
        <v>25.789321999999999</v>
      </c>
      <c r="F140">
        <v>8</v>
      </c>
      <c r="G140">
        <f t="shared" si="12"/>
        <v>257.05767800000001</v>
      </c>
      <c r="H140">
        <f t="shared" si="13"/>
        <v>9.9676012420954692</v>
      </c>
      <c r="I140">
        <f t="shared" si="14"/>
        <v>0.99676012420954696</v>
      </c>
    </row>
    <row r="141" spans="1:9" x14ac:dyDescent="0.3">
      <c r="A141" t="s">
        <v>13</v>
      </c>
      <c r="B141" t="s">
        <v>0</v>
      </c>
      <c r="C141">
        <v>12</v>
      </c>
      <c r="D141">
        <v>100</v>
      </c>
      <c r="E141">
        <v>21.527495999999999</v>
      </c>
      <c r="F141">
        <v>7</v>
      </c>
      <c r="G141">
        <f t="shared" si="12"/>
        <v>257.05767800000001</v>
      </c>
      <c r="H141">
        <f t="shared" si="13"/>
        <v>11.940900047083971</v>
      </c>
      <c r="I141">
        <f t="shared" si="14"/>
        <v>0.99507500392366433</v>
      </c>
    </row>
    <row r="142" spans="1:9" x14ac:dyDescent="0.3">
      <c r="A142" t="s">
        <v>13</v>
      </c>
      <c r="B142" t="s">
        <v>0</v>
      </c>
      <c r="C142">
        <v>16</v>
      </c>
      <c r="D142">
        <v>100</v>
      </c>
      <c r="E142">
        <v>16.158738</v>
      </c>
      <c r="F142">
        <v>15</v>
      </c>
      <c r="G142">
        <f t="shared" si="12"/>
        <v>257.05767800000001</v>
      </c>
      <c r="H142">
        <f t="shared" si="13"/>
        <v>15.90827687162203</v>
      </c>
      <c r="I142">
        <f t="shared" si="14"/>
        <v>0.9942673044763769</v>
      </c>
    </row>
    <row r="143" spans="1:9" x14ac:dyDescent="0.3">
      <c r="A143" t="s">
        <v>13</v>
      </c>
      <c r="B143" t="s">
        <v>0</v>
      </c>
      <c r="C143">
        <v>20</v>
      </c>
      <c r="D143">
        <v>100</v>
      </c>
      <c r="E143">
        <v>12.925678</v>
      </c>
      <c r="F143">
        <v>17</v>
      </c>
      <c r="G143">
        <f t="shared" si="12"/>
        <v>257.05767800000001</v>
      </c>
      <c r="H143">
        <f t="shared" si="13"/>
        <v>19.887365134734132</v>
      </c>
      <c r="I143">
        <f t="shared" si="14"/>
        <v>0.99436825673670659</v>
      </c>
    </row>
    <row r="144" spans="1:9" x14ac:dyDescent="0.3">
      <c r="A144" t="s">
        <v>13</v>
      </c>
      <c r="B144" t="s">
        <v>0</v>
      </c>
      <c r="C144">
        <v>24</v>
      </c>
      <c r="D144">
        <v>100</v>
      </c>
      <c r="E144">
        <v>10.785842000000001</v>
      </c>
      <c r="F144">
        <v>9</v>
      </c>
      <c r="G144">
        <f t="shared" si="12"/>
        <v>257.05767800000001</v>
      </c>
      <c r="H144">
        <f t="shared" si="13"/>
        <v>23.832879992123008</v>
      </c>
      <c r="I144">
        <f t="shared" si="14"/>
        <v>0.99303666633845866</v>
      </c>
    </row>
    <row r="145" spans="1:9" x14ac:dyDescent="0.3">
      <c r="A145" t="s">
        <v>13</v>
      </c>
      <c r="B145" t="s">
        <v>0</v>
      </c>
      <c r="C145">
        <v>28</v>
      </c>
      <c r="D145">
        <v>100</v>
      </c>
      <c r="E145">
        <v>9.2428760000000008</v>
      </c>
      <c r="F145">
        <v>27</v>
      </c>
      <c r="G145">
        <f t="shared" si="12"/>
        <v>257.05767800000001</v>
      </c>
      <c r="H145">
        <f t="shared" si="13"/>
        <v>27.811438560898143</v>
      </c>
      <c r="I145">
        <f t="shared" si="14"/>
        <v>0.99326566288921936</v>
      </c>
    </row>
    <row r="146" spans="1:9" x14ac:dyDescent="0.3">
      <c r="A146" t="s">
        <v>13</v>
      </c>
      <c r="B146" t="s">
        <v>0</v>
      </c>
      <c r="C146">
        <v>32</v>
      </c>
      <c r="D146">
        <v>100</v>
      </c>
      <c r="E146">
        <v>8.1048019999999994</v>
      </c>
      <c r="F146">
        <v>10</v>
      </c>
      <c r="G146">
        <f t="shared" si="12"/>
        <v>257.05767800000001</v>
      </c>
      <c r="H146">
        <f t="shared" si="13"/>
        <v>31.716712882066709</v>
      </c>
      <c r="I146">
        <f t="shared" si="14"/>
        <v>0.99114727756458465</v>
      </c>
    </row>
    <row r="147" spans="1:9" x14ac:dyDescent="0.3">
      <c r="A147" t="s">
        <v>14</v>
      </c>
      <c r="B147" t="s">
        <v>20</v>
      </c>
      <c r="C147">
        <v>1</v>
      </c>
      <c r="D147">
        <v>20</v>
      </c>
      <c r="E147">
        <v>374.51601199999999</v>
      </c>
      <c r="F147">
        <v>0</v>
      </c>
      <c r="G147">
        <f t="shared" si="12"/>
        <v>374.51601199999999</v>
      </c>
      <c r="H147">
        <f t="shared" si="13"/>
        <v>1</v>
      </c>
      <c r="I147">
        <f t="shared" si="14"/>
        <v>1</v>
      </c>
    </row>
    <row r="148" spans="1:9" x14ac:dyDescent="0.3">
      <c r="A148" t="s">
        <v>14</v>
      </c>
      <c r="B148" t="s">
        <v>20</v>
      </c>
      <c r="C148">
        <v>2</v>
      </c>
      <c r="D148">
        <v>20</v>
      </c>
      <c r="E148">
        <v>140.343401</v>
      </c>
      <c r="F148">
        <v>0</v>
      </c>
      <c r="G148">
        <f t="shared" si="12"/>
        <v>374.51601199999999</v>
      </c>
      <c r="H148">
        <f t="shared" si="13"/>
        <v>2.6685687344857776</v>
      </c>
      <c r="I148">
        <f t="shared" si="14"/>
        <v>1.3342843672428888</v>
      </c>
    </row>
    <row r="149" spans="1:9" x14ac:dyDescent="0.3">
      <c r="A149" t="s">
        <v>14</v>
      </c>
      <c r="B149" t="s">
        <v>20</v>
      </c>
      <c r="C149">
        <v>4</v>
      </c>
      <c r="D149">
        <v>20</v>
      </c>
      <c r="E149">
        <v>73.434614999999994</v>
      </c>
      <c r="F149">
        <v>0</v>
      </c>
      <c r="G149">
        <f t="shared" si="12"/>
        <v>374.51601199999999</v>
      </c>
      <c r="H149">
        <f t="shared" si="13"/>
        <v>5.0999928575917508</v>
      </c>
      <c r="I149">
        <f t="shared" si="14"/>
        <v>1.2749982143979377</v>
      </c>
    </row>
    <row r="150" spans="1:9" x14ac:dyDescent="0.3">
      <c r="A150" t="s">
        <v>14</v>
      </c>
      <c r="B150" t="s">
        <v>20</v>
      </c>
      <c r="C150">
        <v>6</v>
      </c>
      <c r="D150">
        <v>20</v>
      </c>
      <c r="E150">
        <v>56.176679999999998</v>
      </c>
      <c r="F150">
        <v>1</v>
      </c>
      <c r="G150">
        <f t="shared" si="12"/>
        <v>374.51601199999999</v>
      </c>
      <c r="H150">
        <f t="shared" si="13"/>
        <v>6.6667523249860974</v>
      </c>
      <c r="I150">
        <f t="shared" si="14"/>
        <v>1.111125387497683</v>
      </c>
    </row>
    <row r="151" spans="1:9" x14ac:dyDescent="0.3">
      <c r="A151" t="s">
        <v>14</v>
      </c>
      <c r="B151" t="s">
        <v>20</v>
      </c>
      <c r="C151">
        <v>8</v>
      </c>
      <c r="D151">
        <v>20</v>
      </c>
      <c r="E151">
        <v>47.121617000000001</v>
      </c>
      <c r="F151">
        <v>0</v>
      </c>
      <c r="G151">
        <f t="shared" si="12"/>
        <v>374.51601199999999</v>
      </c>
      <c r="H151">
        <f t="shared" si="13"/>
        <v>7.9478599386774009</v>
      </c>
      <c r="I151">
        <f t="shared" si="14"/>
        <v>0.99348249233467512</v>
      </c>
    </row>
    <row r="152" spans="1:9" x14ac:dyDescent="0.3">
      <c r="A152" t="s">
        <v>14</v>
      </c>
      <c r="B152" t="s">
        <v>20</v>
      </c>
      <c r="C152">
        <v>10</v>
      </c>
      <c r="D152">
        <v>20</v>
      </c>
      <c r="E152">
        <v>38.743904999999998</v>
      </c>
      <c r="F152">
        <v>1</v>
      </c>
      <c r="G152">
        <f t="shared" si="12"/>
        <v>374.51601199999999</v>
      </c>
      <c r="H152">
        <f t="shared" si="13"/>
        <v>9.6664497809397378</v>
      </c>
      <c r="I152">
        <f t="shared" si="14"/>
        <v>0.96664497809397376</v>
      </c>
    </row>
    <row r="153" spans="1:9" x14ac:dyDescent="0.3">
      <c r="A153" t="s">
        <v>14</v>
      </c>
      <c r="B153" t="s">
        <v>20</v>
      </c>
      <c r="C153">
        <v>12</v>
      </c>
      <c r="D153">
        <v>20</v>
      </c>
      <c r="E153">
        <v>36.128239999999998</v>
      </c>
      <c r="F153">
        <v>4</v>
      </c>
      <c r="G153">
        <f t="shared" si="12"/>
        <v>374.51601199999999</v>
      </c>
      <c r="H153">
        <f t="shared" si="13"/>
        <v>10.366295507337197</v>
      </c>
      <c r="I153">
        <f t="shared" si="14"/>
        <v>0.86385795894476647</v>
      </c>
    </row>
    <row r="154" spans="1:9" x14ac:dyDescent="0.3">
      <c r="A154" t="s">
        <v>13</v>
      </c>
      <c r="B154" t="s">
        <v>21</v>
      </c>
      <c r="C154">
        <v>12</v>
      </c>
      <c r="D154">
        <v>100</v>
      </c>
      <c r="E154">
        <v>12.085725999999999</v>
      </c>
      <c r="F154">
        <v>7</v>
      </c>
      <c r="G154">
        <f t="shared" si="12"/>
        <v>4.5568720000000003</v>
      </c>
      <c r="H154">
        <f t="shared" si="13"/>
        <v>0.37704578111401837</v>
      </c>
      <c r="I154">
        <f t="shared" si="14"/>
        <v>3.1420481759501531E-2</v>
      </c>
    </row>
    <row r="155" spans="1:9" x14ac:dyDescent="0.3">
      <c r="A155" t="s">
        <v>13</v>
      </c>
      <c r="B155" t="s">
        <v>21</v>
      </c>
      <c r="C155">
        <v>24</v>
      </c>
      <c r="D155">
        <v>100</v>
      </c>
      <c r="E155">
        <v>6.0830419999999998</v>
      </c>
      <c r="F155">
        <v>9</v>
      </c>
      <c r="G155">
        <f t="shared" si="12"/>
        <v>4.5568720000000003</v>
      </c>
      <c r="H155">
        <f t="shared" si="13"/>
        <v>0.7491107245355203</v>
      </c>
      <c r="I155">
        <f t="shared" si="14"/>
        <v>3.121294685564668E-2</v>
      </c>
    </row>
    <row r="156" spans="1:9" x14ac:dyDescent="0.3">
      <c r="A156" t="s">
        <v>13</v>
      </c>
      <c r="B156" t="s">
        <v>21</v>
      </c>
      <c r="C156">
        <v>32</v>
      </c>
      <c r="D156">
        <v>100</v>
      </c>
      <c r="E156">
        <v>4.5568720000000003</v>
      </c>
      <c r="F156">
        <v>19</v>
      </c>
      <c r="G156">
        <f t="shared" si="12"/>
        <v>4.5568720000000003</v>
      </c>
      <c r="H156">
        <f t="shared" si="13"/>
        <v>1</v>
      </c>
      <c r="I156">
        <f t="shared" si="14"/>
        <v>3.125E-2</v>
      </c>
    </row>
    <row r="157" spans="1:9" x14ac:dyDescent="0.3">
      <c r="A157" t="s">
        <v>14</v>
      </c>
      <c r="B157" t="s">
        <v>21</v>
      </c>
      <c r="C157">
        <v>4</v>
      </c>
      <c r="D157">
        <v>5</v>
      </c>
      <c r="E157">
        <v>455.71579100000002</v>
      </c>
      <c r="F157">
        <v>1</v>
      </c>
      <c r="G157">
        <f t="shared" si="12"/>
        <v>354.57361800000001</v>
      </c>
      <c r="H157">
        <f t="shared" si="13"/>
        <v>0.77805866068836749</v>
      </c>
      <c r="I157">
        <f t="shared" si="14"/>
        <v>0.19451466517209187</v>
      </c>
    </row>
    <row r="158" spans="1:9" x14ac:dyDescent="0.3">
      <c r="A158" t="s">
        <v>14</v>
      </c>
      <c r="B158" t="s">
        <v>21</v>
      </c>
      <c r="C158">
        <v>10</v>
      </c>
      <c r="D158">
        <v>5</v>
      </c>
      <c r="E158">
        <v>354.57361800000001</v>
      </c>
      <c r="F158">
        <v>1</v>
      </c>
      <c r="G158">
        <f t="shared" si="12"/>
        <v>354.57361800000001</v>
      </c>
      <c r="H158">
        <f t="shared" si="13"/>
        <v>1</v>
      </c>
      <c r="I158">
        <f t="shared" si="14"/>
        <v>0.1</v>
      </c>
    </row>
    <row r="159" spans="1:9" x14ac:dyDescent="0.3">
      <c r="A159" t="s">
        <v>14</v>
      </c>
      <c r="B159" t="s">
        <v>21</v>
      </c>
      <c r="C159">
        <v>12</v>
      </c>
      <c r="D159">
        <v>5</v>
      </c>
      <c r="E159">
        <v>386.86330199999998</v>
      </c>
      <c r="F159">
        <v>3</v>
      </c>
      <c r="G159">
        <f t="shared" si="12"/>
        <v>354.57361800000001</v>
      </c>
      <c r="H159">
        <f t="shared" si="13"/>
        <v>0.91653464199610235</v>
      </c>
      <c r="I159">
        <f t="shared" si="14"/>
        <v>7.6377886833008529E-2</v>
      </c>
    </row>
    <row r="160" spans="1:9" x14ac:dyDescent="0.3">
      <c r="A160" t="s">
        <v>13</v>
      </c>
      <c r="B160" t="s">
        <v>22</v>
      </c>
      <c r="C160">
        <v>12</v>
      </c>
      <c r="D160">
        <v>100</v>
      </c>
      <c r="E160">
        <v>24.105806000000001</v>
      </c>
      <c r="F160">
        <v>8</v>
      </c>
      <c r="G160">
        <f t="shared" si="12"/>
        <v>9.0893510000000006</v>
      </c>
      <c r="H160">
        <f t="shared" si="13"/>
        <v>0.37706065501398295</v>
      </c>
      <c r="I160">
        <f t="shared" si="14"/>
        <v>3.1421721251165248E-2</v>
      </c>
    </row>
    <row r="161" spans="1:9" x14ac:dyDescent="0.3">
      <c r="A161" t="s">
        <v>13</v>
      </c>
      <c r="B161" t="s">
        <v>22</v>
      </c>
      <c r="C161">
        <v>24</v>
      </c>
      <c r="D161">
        <v>100</v>
      </c>
      <c r="E161">
        <v>12.112871999999999</v>
      </c>
      <c r="F161">
        <v>11</v>
      </c>
      <c r="G161">
        <f t="shared" si="12"/>
        <v>9.0893510000000006</v>
      </c>
      <c r="H161">
        <f t="shared" si="13"/>
        <v>0.75038776930855056</v>
      </c>
      <c r="I161">
        <f t="shared" si="14"/>
        <v>3.1266157054522938E-2</v>
      </c>
    </row>
    <row r="162" spans="1:9" x14ac:dyDescent="0.3">
      <c r="A162" t="s">
        <v>13</v>
      </c>
      <c r="B162" t="s">
        <v>22</v>
      </c>
      <c r="C162">
        <v>32</v>
      </c>
      <c r="D162">
        <v>100</v>
      </c>
      <c r="E162">
        <v>9.0893510000000006</v>
      </c>
      <c r="F162">
        <v>27</v>
      </c>
      <c r="G162">
        <f t="shared" si="12"/>
        <v>9.0893510000000006</v>
      </c>
      <c r="H162">
        <f t="shared" ref="H162" si="15" xml:space="preserve"> G162 / E162</f>
        <v>1</v>
      </c>
      <c r="I162">
        <f t="shared" ref="I162" si="16">H162 / C162</f>
        <v>3.125E-2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97F5-6B8C-46C5-BB99-B49F4017F852}">
  <sheetPr codeName="Foglio2"/>
  <dimension ref="A1:N12"/>
  <sheetViews>
    <sheetView zoomScale="130" zoomScaleNormal="130" workbookViewId="0">
      <selection activeCell="G23" sqref="G23"/>
    </sheetView>
  </sheetViews>
  <sheetFormatPr defaultRowHeight="14.4" x14ac:dyDescent="0.3"/>
  <cols>
    <col min="1" max="1" width="8.33203125" bestFit="1" customWidth="1"/>
    <col min="2" max="2" width="12.33203125" bestFit="1" customWidth="1"/>
    <col min="3" max="3" width="15" bestFit="1" customWidth="1"/>
    <col min="4" max="4" width="18.77734375" bestFit="1" customWidth="1"/>
    <col min="5" max="5" width="10.44140625" bestFit="1" customWidth="1"/>
    <col min="6" max="6" width="13.44140625" bestFit="1" customWidth="1"/>
    <col min="7" max="7" width="7.33203125" bestFit="1" customWidth="1"/>
    <col min="9" max="9" width="17.6640625" customWidth="1"/>
    <col min="10" max="10" width="15.77734375" customWidth="1"/>
  </cols>
  <sheetData>
    <row r="1" spans="1:14" x14ac:dyDescent="0.3">
      <c r="A1" t="s">
        <v>8</v>
      </c>
      <c r="B1" t="s">
        <v>9</v>
      </c>
      <c r="C1" t="s">
        <v>10</v>
      </c>
      <c r="D1" t="s">
        <v>11</v>
      </c>
      <c r="E1" t="s">
        <v>23</v>
      </c>
      <c r="F1" t="s">
        <v>12</v>
      </c>
      <c r="G1" t="s">
        <v>18</v>
      </c>
      <c r="H1" t="s">
        <v>27</v>
      </c>
      <c r="I1" t="s">
        <v>28</v>
      </c>
      <c r="J1" t="s">
        <v>29</v>
      </c>
      <c r="M1" t="s">
        <v>31</v>
      </c>
      <c r="N1" t="s">
        <v>32</v>
      </c>
    </row>
    <row r="2" spans="1:14" x14ac:dyDescent="0.3">
      <c r="A2" t="s">
        <v>14</v>
      </c>
      <c r="B2" t="s">
        <v>19</v>
      </c>
      <c r="C2">
        <v>4</v>
      </c>
      <c r="D2">
        <v>100</v>
      </c>
      <c r="E2" t="s">
        <v>24</v>
      </c>
      <c r="F2">
        <v>53.933371000000001</v>
      </c>
      <c r="G2">
        <v>3</v>
      </c>
      <c r="H2">
        <f>AVERAGEIFS('Standard Time'!$E:$E, 'Standard Time'!$A:$A, "Windows", 'Standard Time'!$B:$B, "20kx20k", 'Standard Time'!$C:$C, C2)</f>
        <v>40.044936999999997</v>
      </c>
      <c r="I2">
        <f t="shared" ref="I2:I12" si="0">F2 - H2</f>
        <v>13.888434000000004</v>
      </c>
      <c r="J2">
        <f>I2 / H2</f>
        <v>0.34682122236826107</v>
      </c>
      <c r="L2" t="s">
        <v>24</v>
      </c>
      <c r="M2">
        <f>J2</f>
        <v>0.34682122236826107</v>
      </c>
      <c r="N2">
        <f>J3</f>
        <v>0.25303798733636451</v>
      </c>
    </row>
    <row r="3" spans="1:14" x14ac:dyDescent="0.3">
      <c r="A3" t="s">
        <v>14</v>
      </c>
      <c r="B3" t="s">
        <v>19</v>
      </c>
      <c r="C3">
        <v>10</v>
      </c>
      <c r="D3">
        <v>100</v>
      </c>
      <c r="E3" t="s">
        <v>24</v>
      </c>
      <c r="F3">
        <v>25.272041999999999</v>
      </c>
      <c r="G3">
        <v>9</v>
      </c>
      <c r="H3">
        <f>AVERAGEIFS('Standard Time'!$E:$E, 'Standard Time'!$A:$A, "Windows", 'Standard Time'!$B:$B, "20kx20k", 'Standard Time'!$C:$C, C3)</f>
        <v>20.168616</v>
      </c>
      <c r="I3">
        <f t="shared" si="0"/>
        <v>5.1034259999999989</v>
      </c>
      <c r="J3">
        <f t="shared" ref="J3:J12" si="1">I3 / H3</f>
        <v>0.25303798733636451</v>
      </c>
      <c r="L3" t="s">
        <v>25</v>
      </c>
      <c r="M3">
        <f>J4</f>
        <v>4.9559673423883788E-2</v>
      </c>
      <c r="N3">
        <f>J5</f>
        <v>9.5064926616680159E-2</v>
      </c>
    </row>
    <row r="4" spans="1:14" x14ac:dyDescent="0.3">
      <c r="A4" t="s">
        <v>14</v>
      </c>
      <c r="B4" t="s">
        <v>19</v>
      </c>
      <c r="C4">
        <v>4</v>
      </c>
      <c r="D4">
        <v>100</v>
      </c>
      <c r="E4" t="s">
        <v>25</v>
      </c>
      <c r="F4">
        <v>42.029550999999998</v>
      </c>
      <c r="G4">
        <v>0</v>
      </c>
      <c r="H4">
        <f>AVERAGEIFS('Standard Time'!$E:$E, 'Standard Time'!$A:$A, "Windows", 'Standard Time'!$B:$B, "20kx20k", 'Standard Time'!$C:$C, C4)</f>
        <v>40.044936999999997</v>
      </c>
      <c r="I4">
        <f t="shared" si="0"/>
        <v>1.9846140000000005</v>
      </c>
      <c r="J4">
        <f t="shared" si="1"/>
        <v>4.9559673423883788E-2</v>
      </c>
      <c r="L4" t="s">
        <v>26</v>
      </c>
      <c r="M4">
        <f>J8</f>
        <v>5.3361452410325971E-2</v>
      </c>
      <c r="N4">
        <f>J11</f>
        <v>6.204639921747768E-3</v>
      </c>
    </row>
    <row r="5" spans="1:14" x14ac:dyDescent="0.3">
      <c r="A5" t="s">
        <v>14</v>
      </c>
      <c r="B5" t="s">
        <v>19</v>
      </c>
      <c r="C5">
        <v>10</v>
      </c>
      <c r="D5">
        <v>100</v>
      </c>
      <c r="E5" t="s">
        <v>25</v>
      </c>
      <c r="F5">
        <v>22.085944000000001</v>
      </c>
      <c r="G5">
        <v>1</v>
      </c>
      <c r="H5">
        <f>AVERAGEIFS('Standard Time'!$E:$E, 'Standard Time'!$A:$A, "Windows", 'Standard Time'!$B:$B, "20kx20k", 'Standard Time'!$C:$C, C5)</f>
        <v>20.168616</v>
      </c>
      <c r="I5">
        <f t="shared" si="0"/>
        <v>1.9173280000000013</v>
      </c>
      <c r="J5">
        <f t="shared" si="1"/>
        <v>9.5064926616680159E-2</v>
      </c>
    </row>
    <row r="6" spans="1:14" x14ac:dyDescent="0.3">
      <c r="A6" t="s">
        <v>14</v>
      </c>
      <c r="B6" t="s">
        <v>19</v>
      </c>
      <c r="C6">
        <v>1</v>
      </c>
      <c r="D6">
        <v>100</v>
      </c>
      <c r="E6" t="s">
        <v>26</v>
      </c>
      <c r="F6">
        <v>117.222219</v>
      </c>
      <c r="G6">
        <v>0</v>
      </c>
      <c r="H6">
        <f>AVERAGEIFS('Standard Time'!$E:$E, 'Standard Time'!$A:$A, "Windows", 'Standard Time'!$B:$B, "20kx20k", 'Standard Time'!$C:$C, C6)</f>
        <v>116.38681</v>
      </c>
      <c r="I6">
        <f t="shared" si="0"/>
        <v>0.83540899999999851</v>
      </c>
      <c r="J6">
        <f t="shared" si="1"/>
        <v>7.1778666328254767E-3</v>
      </c>
    </row>
    <row r="7" spans="1:14" x14ac:dyDescent="0.3">
      <c r="A7" t="s">
        <v>14</v>
      </c>
      <c r="B7" t="s">
        <v>19</v>
      </c>
      <c r="C7">
        <v>2</v>
      </c>
      <c r="D7">
        <v>100</v>
      </c>
      <c r="E7" t="s">
        <v>26</v>
      </c>
      <c r="F7">
        <v>65.337397999999993</v>
      </c>
      <c r="G7">
        <v>1</v>
      </c>
      <c r="H7">
        <f>AVERAGEIFS('Standard Time'!$E:$E, 'Standard Time'!$A:$A, "Windows", 'Standard Time'!$B:$B, "20kx20k", 'Standard Time'!$C:$C, C7)</f>
        <v>61.430937999999998</v>
      </c>
      <c r="I7">
        <f t="shared" si="0"/>
        <v>3.9064599999999956</v>
      </c>
      <c r="J7">
        <f t="shared" si="1"/>
        <v>6.3591085000199665E-2</v>
      </c>
    </row>
    <row r="8" spans="1:14" x14ac:dyDescent="0.3">
      <c r="A8" t="s">
        <v>14</v>
      </c>
      <c r="B8" t="s">
        <v>19</v>
      </c>
      <c r="C8">
        <v>4</v>
      </c>
      <c r="D8">
        <v>100</v>
      </c>
      <c r="E8" t="s">
        <v>26</v>
      </c>
      <c r="F8">
        <v>42.181792999999999</v>
      </c>
      <c r="G8">
        <v>3</v>
      </c>
      <c r="H8">
        <f>AVERAGEIFS('Standard Time'!$E:$E, 'Standard Time'!$A:$A, "Windows", 'Standard Time'!$B:$B, "20kx20k", 'Standard Time'!$C:$C, C8)</f>
        <v>40.044936999999997</v>
      </c>
      <c r="I8">
        <f t="shared" si="0"/>
        <v>2.1368560000000016</v>
      </c>
      <c r="J8">
        <f t="shared" si="1"/>
        <v>5.3361452410325971E-2</v>
      </c>
    </row>
    <row r="9" spans="1:14" x14ac:dyDescent="0.3">
      <c r="A9" t="s">
        <v>14</v>
      </c>
      <c r="B9" t="s">
        <v>19</v>
      </c>
      <c r="C9">
        <v>6</v>
      </c>
      <c r="D9">
        <v>100</v>
      </c>
      <c r="E9" t="s">
        <v>26</v>
      </c>
      <c r="F9">
        <v>30.502341000000001</v>
      </c>
      <c r="G9">
        <v>3</v>
      </c>
      <c r="H9">
        <f>AVERAGEIFS('Standard Time'!$E:$E, 'Standard Time'!$A:$A, "Windows", 'Standard Time'!$B:$B, "20kx20k", 'Standard Time'!$C:$C, C9)</f>
        <v>29.363962999999998</v>
      </c>
      <c r="I9">
        <f t="shared" si="0"/>
        <v>1.138378000000003</v>
      </c>
      <c r="J9">
        <f t="shared" si="1"/>
        <v>3.8767859774241069E-2</v>
      </c>
    </row>
    <row r="10" spans="1:14" x14ac:dyDescent="0.3">
      <c r="A10" t="s">
        <v>14</v>
      </c>
      <c r="B10" t="s">
        <v>19</v>
      </c>
      <c r="C10">
        <v>8</v>
      </c>
      <c r="D10">
        <v>100</v>
      </c>
      <c r="E10" t="s">
        <v>26</v>
      </c>
      <c r="F10">
        <v>24.527604</v>
      </c>
      <c r="G10">
        <v>3</v>
      </c>
      <c r="H10">
        <f>AVERAGEIFS('Standard Time'!$E:$E, 'Standard Time'!$A:$A, "Windows", 'Standard Time'!$B:$B, "20kx20k", 'Standard Time'!$C:$C, C10)</f>
        <v>23.875588</v>
      </c>
      <c r="I10">
        <f t="shared" si="0"/>
        <v>0.65201599999999971</v>
      </c>
      <c r="J10">
        <f t="shared" si="1"/>
        <v>2.7308898109650731E-2</v>
      </c>
    </row>
    <row r="11" spans="1:14" x14ac:dyDescent="0.3">
      <c r="A11" t="s">
        <v>14</v>
      </c>
      <c r="B11" t="s">
        <v>19</v>
      </c>
      <c r="C11">
        <v>10</v>
      </c>
      <c r="D11">
        <v>100</v>
      </c>
      <c r="E11" t="s">
        <v>26</v>
      </c>
      <c r="F11">
        <v>20.293755000000001</v>
      </c>
      <c r="G11">
        <v>0</v>
      </c>
      <c r="H11">
        <f>AVERAGEIFS('Standard Time'!$E:$E, 'Standard Time'!$A:$A, "Windows", 'Standard Time'!$B:$B, "20kx20k", 'Standard Time'!$C:$C, C11)</f>
        <v>20.168616</v>
      </c>
      <c r="I11">
        <f t="shared" si="0"/>
        <v>0.12513900000000078</v>
      </c>
      <c r="J11">
        <f t="shared" si="1"/>
        <v>6.204639921747768E-3</v>
      </c>
    </row>
    <row r="12" spans="1:14" x14ac:dyDescent="0.3">
      <c r="A12" t="s">
        <v>14</v>
      </c>
      <c r="B12" t="s">
        <v>19</v>
      </c>
      <c r="C12">
        <v>12</v>
      </c>
      <c r="D12">
        <v>100</v>
      </c>
      <c r="E12" t="s">
        <v>26</v>
      </c>
      <c r="F12">
        <v>23.094145000000001</v>
      </c>
      <c r="G12">
        <v>5</v>
      </c>
      <c r="H12">
        <f>AVERAGEIFS('Standard Time'!$E:$E, 'Standard Time'!$A:$A, "Windows", 'Standard Time'!$B:$B, "20kx20k", 'Standard Time'!$C:$C, C12)</f>
        <v>19.773899</v>
      </c>
      <c r="I12">
        <f t="shared" si="0"/>
        <v>3.3202460000000009</v>
      </c>
      <c r="J12">
        <f t="shared" si="1"/>
        <v>0.16791053701649841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1DFBC-76BC-4477-B5E3-79AA8D882A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Standard Time</vt:lpstr>
      <vt:lpstr>performance_casi_speciali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COSENZA</dc:creator>
  <cp:lastModifiedBy>MARIO COSENZA</cp:lastModifiedBy>
  <dcterms:created xsi:type="dcterms:W3CDTF">2026-05-19T15:06:40Z</dcterms:created>
  <dcterms:modified xsi:type="dcterms:W3CDTF">2026-06-18T18:57:04Z</dcterms:modified>
</cp:coreProperties>
</file>